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pplications" sheetId="2" state="visible" r:id="rId4"/>
    <sheet name="Universities &amp; Supervisors" sheetId="3" state="visible" r:id="rId5"/>
    <sheet name="Explorer" sheetId="4" state="visible" r:id="rId6"/>
    <sheet name="Scoring" sheetId="5" state="visible" r:id="rId7"/>
    <sheet name="How It Works" sheetId="6" state="visible" r:id="rId8"/>
    <sheet name="Lists" sheetId="7" state="hidden" r:id="rId9"/>
  </sheets>
  <definedNames>
    <definedName function="false" hidden="true" localSheetId="1" name="_xlnm._FilterDatabase" vbProcedure="false">Applications!$A$3:$P$33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<sst xmlns="http://schemas.openxmlformats.org/spreadsheetml/2006/main" count="215" uniqueCount="142">
  <si>
    <t xml:space="preserve">ApplyAbroadLab.com — Application Tracker Pro</t>
  </si>
  <si>
    <t xml:space="preserve">Apply Abroad Lab — Application Tracker Pro</t>
  </si>
  <si>
    <t xml:space="preserve">Chart data (auto)</t>
  </si>
  <si>
    <t xml:space="preserve">TOTAL APPLICATIONS</t>
  </si>
  <si>
    <t xml:space="preserve">NEAREST DEADLINE (DAYS)</t>
  </si>
  <si>
    <t xml:space="preserve">HIGH PRIORITY OPEN</t>
  </si>
  <si>
    <t xml:space="preserve">COMPLETION RATE</t>
  </si>
  <si>
    <t xml:space="preserve">ACCEPTED</t>
  </si>
  <si>
    <t xml:space="preserve">AVG. RESEARCH FIT</t>
  </si>
  <si>
    <t xml:space="preserve">Status</t>
  </si>
  <si>
    <t xml:space="preserve">Count</t>
  </si>
  <si>
    <t xml:space="preserve">Not Started</t>
  </si>
  <si>
    <t xml:space="preserve">In Progress</t>
  </si>
  <si>
    <t xml:space="preserve">APPLICATION STATUS</t>
  </si>
  <si>
    <t xml:space="preserve">APPLICATIONS BY COUNTRY</t>
  </si>
  <si>
    <t xml:space="preserve">SHORTLIST COMPARISON</t>
  </si>
  <si>
    <t xml:space="preserve">Submitted</t>
  </si>
  <si>
    <t xml:space="preserve">Interview</t>
  </si>
  <si>
    <t xml:space="preserve">Accepted</t>
  </si>
  <si>
    <t xml:space="preserve">Rejected</t>
  </si>
  <si>
    <t xml:space="preserve">Country</t>
  </si>
  <si>
    <t xml:space="preserve">Germany</t>
  </si>
  <si>
    <t xml:space="preserve">UPCOMING DEADLINES (NEXT 30 DAYS)</t>
  </si>
  <si>
    <t xml:space="preserve">QUICK NAVIGATION</t>
  </si>
  <si>
    <t xml:space="preserve">#</t>
  </si>
  <si>
    <t xml:space="preserve">University</t>
  </si>
  <si>
    <t xml:space="preserve">Program</t>
  </si>
  <si>
    <t xml:space="preserve">Deadline</t>
  </si>
  <si>
    <t xml:space="preserve">Days</t>
  </si>
  <si>
    <t xml:space="preserve">▶  Applications</t>
  </si>
  <si>
    <t xml:space="preserve">▶  Universities &amp; Supervisors</t>
  </si>
  <si>
    <t xml:space="preserve">▶  Explorer (interactive filter)</t>
  </si>
  <si>
    <t xml:space="preserve">▶  Scoring (radar inputs)</t>
  </si>
  <si>
    <t xml:space="preserve">▶  How It Works</t>
  </si>
  <si>
    <t xml:space="preserve">Tip: update Status, Priority and Deadline in the Applications sheet — every KPI, chart and list on this page recalculates automatically.</t>
  </si>
  <si>
    <t xml:space="preserve">CONNECT WITH APPLY ABROAD LAB</t>
  </si>
  <si>
    <t xml:space="preserve">Website:</t>
  </si>
  <si>
    <t xml:space="preserve">https://applyabroadlab.com/</t>
  </si>
  <si>
    <t xml:space="preserve">LinkedIn:</t>
  </si>
  <si>
    <t xml:space="preserve">Apply Abroad Lab</t>
  </si>
  <si>
    <t xml:space="preserve">Support:</t>
  </si>
  <si>
    <t xml:space="preserve">via website or LinkedIn</t>
  </si>
  <si>
    <t xml:space="preserve">Main tracker — edit the white columns. Grey columns (Country, Supervisor, Funding, Days Until Deadline) are calculated automatically. Row 4 is a filled example; replace it and add your own below.</t>
  </si>
  <si>
    <t xml:space="preserve">ID</t>
  </si>
  <si>
    <t xml:space="preserve">Field</t>
  </si>
  <si>
    <t xml:space="preserve">Level</t>
  </si>
  <si>
    <t xml:space="preserve">Supervisor</t>
  </si>
  <si>
    <t xml:space="preserve">Days Until Deadline</t>
  </si>
  <si>
    <t xml:space="preserve">Priority</t>
  </si>
  <si>
    <t xml:space="preserve">Research Fit (1-10)</t>
  </si>
  <si>
    <t xml:space="preserve">Funding Type</t>
  </si>
  <si>
    <t xml:space="preserve">Documents Ready (%)</t>
  </si>
  <si>
    <t xml:space="preserve">Last Contact</t>
  </si>
  <si>
    <t xml:space="preserve">Notes</t>
  </si>
  <si>
    <t xml:space="preserve">Upcoming Key</t>
  </si>
  <si>
    <t xml:space="preserve">Match Index</t>
  </si>
  <si>
    <t xml:space="preserve">Example: Technical University of Munich</t>
  </si>
  <si>
    <t xml:space="preserve">PhD in Computational Biology</t>
  </si>
  <si>
    <t xml:space="preserve">Computational Biology</t>
  </si>
  <si>
    <t xml:space="preserve">PhD</t>
  </si>
  <si>
    <t xml:space="preserve">High</t>
  </si>
  <si>
    <t xml:space="preserve">Example row — delete or overwrite; supervisor/country/funding fill in automatically from the University name.</t>
  </si>
  <si>
    <t xml:space="preserve">Reference table — one row per university / supervisor. Applications pull Country, Supervisor and Funding from here automatically. Row 4 is a filled example; replace it and add your own below.</t>
  </si>
  <si>
    <t xml:space="preserve">City</t>
  </si>
  <si>
    <t xml:space="preserve">Research Area</t>
  </si>
  <si>
    <t xml:space="preserve">Prestige (1-10)</t>
  </si>
  <si>
    <t xml:space="preserve">Responsiveness (1-10)</t>
  </si>
  <si>
    <t xml:space="preserve">Contact Status</t>
  </si>
  <si>
    <t xml:space="preserve">Website</t>
  </si>
  <si>
    <t xml:space="preserve">Munich</t>
  </si>
  <si>
    <t xml:space="preserve">Prof. First Last</t>
  </si>
  <si>
    <t xml:space="preserve">Fully funded (example)</t>
  </si>
  <si>
    <t xml:space="preserve">Not contacted</t>
  </si>
  <si>
    <t xml:space="preserve">https://www.tum.de</t>
  </si>
  <si>
    <t xml:space="preserve">Interactive filter — change the three yellow selectors and the list, KPIs and chart update instantly.</t>
  </si>
  <si>
    <t xml:space="preserve">All</t>
  </si>
  <si>
    <t xml:space="preserve">Matching applications</t>
  </si>
  <si>
    <t xml:space="preserve">Average research fit</t>
  </si>
  <si>
    <t xml:space="preserve">Average documents ready</t>
  </si>
  <si>
    <t xml:space="preserve">Nearest deadline (days)</t>
  </si>
  <si>
    <t xml:space="preserve">Status (selection)</t>
  </si>
  <si>
    <t xml:space="preserve">Shortlist comparison — pick up to 4 universities in the yellow cells. All axes are normalised to 0-10 so the radar shape is comparable.</t>
  </si>
  <si>
    <t xml:space="preserve">Axis</t>
  </si>
  <si>
    <t xml:space="preserve">Shortlist 1</t>
  </si>
  <si>
    <t xml:space="preserve">Shortlist 2</t>
  </si>
  <si>
    <t xml:space="preserve">Shortlist 3</t>
  </si>
  <si>
    <t xml:space="preserve">Shortlist 4</t>
  </si>
  <si>
    <t xml:space="preserve">Scoring rule</t>
  </si>
  <si>
    <t xml:space="preserve">Research Fit</t>
  </si>
  <si>
    <t xml:space="preserve">Research Fit column of the application, already on a 1-10 scale</t>
  </si>
  <si>
    <t xml:space="preserve">Funding Strength</t>
  </si>
  <si>
    <t xml:space="preserve">Fully funded = 10, Scholarship = 7, Partially funded = 6</t>
  </si>
  <si>
    <t xml:space="preserve">Prestige</t>
  </si>
  <si>
    <t xml:space="preserve">Prestige score from the Universities sheet (1-10)</t>
  </si>
  <si>
    <t xml:space="preserve">Deadline Urgency</t>
  </si>
  <si>
    <t xml:space="preserve">10 = deadline now, minus 1 point per 20 days away, floor 0</t>
  </si>
  <si>
    <t xml:space="preserve">Supervisor Responsiveness</t>
  </si>
  <si>
    <t xml:space="preserve">Responsiveness score from the Universities sheet (1-10)</t>
  </si>
  <si>
    <t xml:space="preserve">Overall (average)</t>
  </si>
  <si>
    <t xml:space="preserve">How It Works</t>
  </si>
  <si>
    <t xml:space="preserve">What this is</t>
  </si>
  <si>
    <t xml:space="preserve">A single-file application tracker for Master's, PhD and Postdoc campaigns. Everything on the Dashboard is calculated live from the Applications sheet.</t>
  </si>
  <si>
    <t xml:space="preserve">Data model</t>
  </si>
  <si>
    <t xml:space="preserve">Two tables. Applications = one row per application (the fact table). Universities &amp; Supervisors = one row per institution (the reference table). Applications pull Country, Supervisor and Funding from the reference table by University name, so a fact is entered once and reused everywhere.</t>
  </si>
  <si>
    <t xml:space="preserve">What is automated</t>
  </si>
  <si>
    <t xml:space="preserve">Days-until-deadline countdown with red/orange/green alerts, six live KPI cards, status pie chart, country bar chart, 4-way shortlist radar chart, upcoming-deadline list (next 30 days), interactive Explorer filter, and the shortlist scoring table.</t>
  </si>
  <si>
    <t xml:space="preserve">Adding an application</t>
  </si>
  <si>
    <t xml:space="preserve">Go to Applications, type in the next empty row: pick University from the dropdown (Country, Supervisor and Funding fill in automatically), enter Program, Field, Level, Deadline, Status, Priority, Research Fit and Documents Ready. Takes about 60 seconds.</t>
  </si>
  <si>
    <t xml:space="preserve">Adding a university</t>
  </si>
  <si>
    <t xml:space="preserve">Add a row to Universities &amp; Supervisors with its Prestige and Responsiveness scores. It becomes selectable in Applications and Scoring immediately.</t>
  </si>
  <si>
    <t xml:space="preserve">Comparing a shortlist</t>
  </si>
  <si>
    <t xml:space="preserve">Open Scoring, pick up to four universities in the yellow cells. Every axis is normalised to 0-10 (see the rule next to each axis) so the radar shape is a fair comparison. The same radar appears on the Dashboard.</t>
  </si>
  <si>
    <t xml:space="preserve">Filtering</t>
  </si>
  <si>
    <t xml:space="preserve">Open Explorer and change Country, Status or Priority. The matching list, the selection KPIs and the status chart update instantly. Set a selector back to All to clear it.</t>
  </si>
  <si>
    <t xml:space="preserve">Data quality rules</t>
  </si>
  <si>
    <t xml:space="preserve">Status, Priority, Level, Field and University are dropdown-only, Research Fit accepts 1-10 only. This keeps every chart and KPI reliable.</t>
  </si>
  <si>
    <t xml:space="preserve">Before recording a demo</t>
  </si>
  <si>
    <t xml:space="preserve">Deadlines are fixed dates. If you record later, shift a few deadlines into the next 30 days so the Upcoming Deadlines list and the red alerts are visible.</t>
  </si>
  <si>
    <t xml:space="preserve">Built with</t>
  </si>
  <si>
    <t xml:space="preserve">Python (openpyxl) generating native Excel formulas, validation, conditional formatting and chart objects. No macros, no external connections, works offline in Excel 2016 or later.</t>
  </si>
  <si>
    <t xml:space="preserve">Country+All</t>
  </si>
  <si>
    <t xml:space="preserve">Status+All</t>
  </si>
  <si>
    <t xml:space="preserve">Priority+All</t>
  </si>
  <si>
    <t xml:space="preserve">Biology</t>
  </si>
  <si>
    <t xml:space="preserve">Medium</t>
  </si>
  <si>
    <t xml:space="preserve">Postdoc</t>
  </si>
  <si>
    <t xml:space="preserve">Cancer Biology</t>
  </si>
  <si>
    <t xml:space="preserve">Awaiting reply</t>
  </si>
  <si>
    <t xml:space="preserve">Low</t>
  </si>
  <si>
    <t xml:space="preserve">Master</t>
  </si>
  <si>
    <t xml:space="preserve">Chemistry</t>
  </si>
  <si>
    <t xml:space="preserve">Replied</t>
  </si>
  <si>
    <t xml:space="preserve">Computer Science</t>
  </si>
  <si>
    <t xml:space="preserve">Interview scheduled</t>
  </si>
  <si>
    <t xml:space="preserve">Psychology</t>
  </si>
  <si>
    <t xml:space="preserve">Civil Engineering</t>
  </si>
  <si>
    <t xml:space="preserve">Mechanical Engineering</t>
  </si>
  <si>
    <t xml:space="preserve">Architecture</t>
  </si>
  <si>
    <t xml:space="preserve">Business &amp; Management</t>
  </si>
  <si>
    <t xml:space="preserve">Marketing</t>
  </si>
  <si>
    <t xml:space="preserve">Food Biotechnology</t>
  </si>
  <si>
    <t xml:space="preserve">Molecular Oncology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</si>
</sst>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dd\-mmm\-yyyy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1"/>
      <color rgb="FFFFFFFF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i val="true"/>
      <sz val="10"/>
      <color rgb="FF5F5E5A"/>
      <name val="Arial"/>
      <family val="0"/>
      <charset val="1"/>
    </font>
    <font>
      <b val="true"/>
      <sz val="9"/>
      <color rgb="FF5F5E5A"/>
      <name val="Arial"/>
      <family val="0"/>
      <charset val="1"/>
    </font>
    <font>
      <sz val="9"/>
      <color rgb="FF5F5E5A"/>
      <name val="Arial"/>
      <family val="0"/>
      <charset val="1"/>
    </font>
    <font>
      <b val="true"/>
      <sz val="24"/>
      <color rgb="FF12213D"/>
      <name val="Arial"/>
      <family val="0"/>
      <charset val="1"/>
    </font>
    <font>
      <b val="true"/>
      <sz val="24"/>
      <color rgb="FF0E7C66"/>
      <name val="Arial"/>
      <family val="0"/>
      <charset val="1"/>
    </font>
    <font>
      <b val="true"/>
      <sz val="10"/>
      <color rgb="FF12213D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u val="single"/>
      <sz val="10"/>
      <color rgb="FFFFFFFF"/>
      <name val="Arial"/>
      <family val="0"/>
      <charset val="1"/>
    </font>
    <font>
      <i val="true"/>
      <sz val="9"/>
      <color rgb="FF5F5E5A"/>
      <name val="Arial"/>
      <family val="0"/>
      <charset val="1"/>
    </font>
    <font>
      <b val="true"/>
      <sz val="9"/>
      <color rgb="FF12213D"/>
      <name val="Arial"/>
      <family val="0"/>
      <charset val="1"/>
    </font>
    <font>
      <u val="single"/>
      <sz val="9"/>
      <color rgb="FF1565C0"/>
      <name val="Arial"/>
      <family val="0"/>
      <charset val="1"/>
    </font>
    <font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u val="single"/>
      <sz val="10"/>
      <color rgb="FF1565C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12213D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6"/>
      <color rgb="FF12213D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2213D"/>
        <bgColor rgb="FF003300"/>
      </patternFill>
    </fill>
    <fill>
      <patternFill patternType="solid">
        <fgColor rgb="FFF4F6FA"/>
        <bgColor rgb="FFF9F9F9"/>
      </patternFill>
    </fill>
    <fill>
      <patternFill patternType="solid">
        <fgColor rgb="FFE1F5EE"/>
        <bgColor rgb="FFEAF3DE"/>
      </patternFill>
    </fill>
    <fill>
      <patternFill patternType="solid">
        <fgColor rgb="FFFFF9C4"/>
        <bgColor rgb="FFFFF4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4DC"/>
      </left>
      <right style="thin">
        <color rgb="FFD0D4DC"/>
      </right>
      <top style="thin">
        <color rgb="FFD0D4DC"/>
      </top>
      <bottom style="thin">
        <color rgb="FFD0D4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ont>
        <b val="1"/>
        <color rgb="FFC62828"/>
      </font>
    </dxf>
    <dxf>
      <font>
        <color rgb="FFFFFFFF"/>
      </font>
    </dxf>
    <dxf>
      <fill>
        <patternFill patternType="solid">
          <fgColor rgb="FF12213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F6FA"/>
          <bgColor rgb="FF000000"/>
        </patternFill>
      </fill>
    </dxf>
    <dxf>
      <fill>
        <patternFill patternType="solid">
          <fgColor rgb="FFFDECEA"/>
          <bgColor rgb="FF000000"/>
        </patternFill>
      </fill>
    </dxf>
    <dxf>
      <fill>
        <patternFill patternType="solid">
          <fgColor rgb="FFC62828"/>
          <bgColor rgb="FF000000"/>
        </patternFill>
      </fill>
    </dxf>
    <dxf>
      <font>
        <color rgb="FF9E9E9E"/>
      </font>
      <fill>
        <patternFill>
          <bgColor rgb="FFEEEEEE"/>
        </patternFill>
      </fill>
    </dxf>
    <dxf>
      <font>
        <b val="1"/>
        <color rgb="FFC62828"/>
      </font>
      <fill>
        <patternFill>
          <bgColor rgb="FFFDECEA"/>
        </patternFill>
      </fill>
    </dxf>
    <dxf>
      <font>
        <b val="1"/>
        <color rgb="FFE68A00"/>
      </font>
      <fill>
        <patternFill>
          <bgColor rgb="FFFFF4E0"/>
        </patternFill>
      </fill>
    </dxf>
    <dxf>
      <font>
        <color rgb="FF2E7D32"/>
      </font>
      <fill>
        <patternFill>
          <bgColor rgb="FFEAF3DE"/>
        </patternFill>
      </fill>
    </dxf>
    <dxf>
      <fill>
        <patternFill>
          <bgColor rgb="FFC8E6C9"/>
        </patternFill>
      </fill>
    </dxf>
    <dxf>
      <fill>
        <patternFill>
          <bgColor rgb="FFFFCDD2"/>
        </patternFill>
      </fill>
    </dxf>
    <dxf>
      <fill>
        <patternFill>
          <bgColor rgb="FFBBDEFB"/>
        </patternFill>
      </fill>
    </dxf>
    <dxf>
      <fill>
        <patternFill>
          <bgColor rgb="FFE1F5EE"/>
        </patternFill>
      </fill>
    </dxf>
    <dxf>
      <fill>
        <patternFill>
          <bgColor rgb="FFEEEEEE"/>
        </patternFill>
      </fill>
    </dxf>
    <dxf>
      <font>
        <b val="1"/>
        <color rgb="FF2E7D32"/>
      </font>
    </dxf>
    <dxf>
      <font>
        <b val="1"/>
        <color rgb="FFE68A00"/>
      </font>
    </dxf>
  </dxfs>
  <colors>
    <indexedColors>
      <rgbColor rgb="FF000000"/>
      <rgbColor rgb="FFFFFFFF"/>
      <rgbColor rgb="FFFF0000"/>
      <rgbColor rgb="FF00FF00"/>
      <rgbColor rgb="FF0000FF"/>
      <rgbColor rgb="FFEEEEEE"/>
      <rgbColor rgb="FFFF00FF"/>
      <rgbColor rgb="FF00FFFF"/>
      <rgbColor rgb="FF800000"/>
      <rgbColor rgb="FF639922"/>
      <rgbColor rgb="FF000080"/>
      <rgbColor rgb="FF779637"/>
      <rgbColor rgb="FF800080"/>
      <rgbColor rgb="FF0E7C66"/>
      <rgbColor rgb="FFB4B2A9"/>
      <rgbColor rgb="FF878787"/>
      <rgbColor rgb="FF378ADD"/>
      <rgbColor rgb="FFC62828"/>
      <rgbColor rgb="FFFFF9C4"/>
      <rgbColor rgb="FFE1F5EE"/>
      <rgbColor rgb="FF660066"/>
      <rgbColor rgb="FFBBDEFB"/>
      <rgbColor rgb="FF1565C0"/>
      <rgbColor rgb="FFD0D4DC"/>
      <rgbColor rgb="FF000080"/>
      <rgbColor rgb="FFFF00FF"/>
      <rgbColor rgb="FFF9F9F9"/>
      <rgbColor rgb="FF00FFFF"/>
      <rgbColor rgb="FF800080"/>
      <rgbColor rgb="FF800000"/>
      <rgbColor rgb="FF2E5F99"/>
      <rgbColor rgb="FF0000FF"/>
      <rgbColor rgb="FF00CCFF"/>
      <rgbColor rgb="FFEAF3DE"/>
      <rgbColor rgb="FFC8E6C9"/>
      <rgbColor rgb="FFFFF4E0"/>
      <rgbColor rgb="FF99CCFF"/>
      <rgbColor rgb="FFFDECEA"/>
      <rgbColor rgb="FFD9D9D9"/>
      <rgbColor rgb="FFFFCDD2"/>
      <rgbColor rgb="FF397BCA"/>
      <rgbColor rgb="FF35C6E8"/>
      <rgbColor rgb="FF9CC745"/>
      <rgbColor rgb="FFF4F6FA"/>
      <rgbColor rgb="FFE68A00"/>
      <rgbColor rgb="FFD85A30"/>
      <rgbColor rgb="FF7B57A7"/>
      <rgbColor rgb="FF9E9E9E"/>
      <rgbColor rgb="FF12213D"/>
      <rgbColor rgb="FF2E7D32"/>
      <rgbColor rgb="FF003300"/>
      <rgbColor rgb="FF333300"/>
      <rgbColor rgb="FF9C2F2C"/>
      <rgbColor rgb="FFCE3A36"/>
      <rgbColor rgb="FF5E437F"/>
      <rgbColor rgb="FF5F5E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tx>
            <c:strRef>
              <c:f>Dashboard!P5</c:f>
              <c:strCache>
                <c:ptCount val="1"/>
                <c:pt idx="0">
                  <c:v>Count</c:v>
                </c:pt>
              </c:strCache>
            </c:strRef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</a:ln>
          </c:spPr>
          <c:explosion val="0"/>
          <c:dPt>
            <c:idx val="0"/>
            <c:spPr>
              <a:solidFill>
                <a:srgbClr val="b4b2a9"/>
              </a:solidFill>
              <a:ln w="0">
                <a:noFill/>
              </a:ln>
            </c:spPr>
          </c:dPt>
          <c:dPt>
            <c:idx val="1"/>
            <c:spPr>
              <a:solidFill>
                <a:srgbClr val="0e7c66"/>
              </a:solidFill>
              <a:ln w="0">
                <a:noFill/>
              </a:ln>
            </c:spPr>
          </c:dPt>
          <c:dPt>
            <c:idx val="2"/>
            <c:spPr>
              <a:solidFill>
                <a:srgbClr val="35c6e8"/>
              </a:solidFill>
              <a:ln w="0">
                <a:noFill/>
              </a:ln>
            </c:spPr>
          </c:dPt>
          <c:dPt>
            <c:idx val="3"/>
            <c:spPr>
              <a:solidFill>
                <a:srgbClr val="378add"/>
              </a:solidFill>
              <a:ln w="0">
                <a:noFill/>
              </a:ln>
            </c:spPr>
          </c:dPt>
          <c:dPt>
            <c:idx val="4"/>
            <c:spPr>
              <a:solidFill>
                <a:srgbClr val="639922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85a3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Dashboard!$O$6:$O$11</c:f>
              <c:strCache>
                <c:ptCount val="6"/>
                <c:pt idx="0">
                  <c:v>Not Started</c:v>
                </c:pt>
                <c:pt idx="1">
                  <c:v>In Progress</c:v>
                </c:pt>
                <c:pt idx="2">
                  <c:v>Submitted</c:v>
                </c:pt>
                <c:pt idx="3">
                  <c:v>Interview</c:v>
                </c:pt>
                <c:pt idx="4">
                  <c:v>Accepted</c:v>
                </c:pt>
                <c:pt idx="5">
                  <c:v>Rejected</c:v>
                </c:pt>
              </c:strCache>
            </c:strRef>
          </c:cat>
          <c:val>
            <c:numRef>
              <c:f>Dashboard!$P$6:$P$11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Dashboard!P13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12213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Dashboard!$O$14</c:f>
              <c:strCache>
                <c:ptCount val="1"/>
                <c:pt idx="0">
                  <c:v>Germany</c:v>
                </c:pt>
              </c:strCache>
            </c:strRef>
          </c:cat>
          <c:val>
            <c:numRef>
              <c:f>Dashboard!$P$14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gapWidth val="150"/>
        <c:overlap val="0"/>
        <c:axId val="98807705"/>
        <c:axId val="23764590"/>
      </c:barChart>
      <c:catAx>
        <c:axId val="988077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764590"/>
        <c:crosses val="autoZero"/>
        <c:auto val="1"/>
        <c:lblAlgn val="ctr"/>
        <c:lblOffset val="100"/>
        <c:noMultiLvlLbl val="0"/>
      </c:catAx>
      <c:valAx>
        <c:axId val="2376459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8077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radarChart>
        <c:radarStyle val="filled"/>
        <c:varyColors val="0"/>
        <c:ser>
          <c:idx val="0"/>
          <c:order val="0"/>
          <c:tx>
            <c:strRef>
              <c:f>Scoring!B4</c:f>
              <c:strCache>
                <c:ptCount val="1"/>
                <c:pt idx="0">
                  <c:v>Example: Technical University of Munich</c:v>
                </c:pt>
              </c:strCache>
            </c:strRef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Scoring!$A$5:$A$9</c:f>
              <c:strCache>
                <c:ptCount val="5"/>
                <c:pt idx="0">
                  <c:v>Research Fit</c:v>
                </c:pt>
                <c:pt idx="1">
                  <c:v>Funding Strength</c:v>
                </c:pt>
                <c:pt idx="2">
                  <c:v>Prestige</c:v>
                </c:pt>
                <c:pt idx="3">
                  <c:v>Deadline Urgency</c:v>
                </c:pt>
                <c:pt idx="4">
                  <c:v>Supervisor Responsiveness</c:v>
                </c:pt>
              </c:strCache>
            </c:strRef>
          </c:cat>
          <c:val>
            <c:numRef>
              <c:f>Scoring!$B$5:$B$9</c:f>
              <c:numCache>
                <c:formatCode>General</c:formatCode>
                <c:ptCount val="5"/>
                <c:pt idx="0">
                  <c:v>8</c:v>
                </c:pt>
                <c:pt idx="1">
                  <c:v>10</c:v>
                </c:pt>
                <c:pt idx="2">
                  <c:v>8</c:v>
                </c:pt>
                <c:pt idx="3">
                  <c:v>9</c:v>
                </c:pt>
                <c:pt idx="4">
                  <c:v>7</c:v>
                </c:pt>
              </c:numCache>
            </c:numRef>
          </c:val>
        </c:ser>
        <c:ser>
          <c:idx val="1"/>
          <c:order val="1"/>
          <c:tx>
            <c:strRef>
              <c:f>Scoring!C4</c:f>
              <c:strCache>
                <c:ptCount val="1"/>
                <c:pt idx="0">
                  <c:v/>
                </c:pt>
              </c:strCache>
            </c:strRef>
          </c:tx>
          <c:spPr>
            <a:gradFill>
              <a:gsLst>
                <a:gs pos="0">
                  <a:srgbClr val="9c2f2c"/>
                </a:gs>
                <a:gs pos="80000">
                  <a:srgbClr val="cb3d39"/>
                </a:gs>
                <a:gs pos="100000">
                  <a:srgbClr val="ce3a36"/>
                </a:gs>
              </a:gsLst>
              <a:lin ang="16200000"/>
            </a:gra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Scoring!$A$5:$A$9</c:f>
              <c:strCache>
                <c:ptCount val="5"/>
                <c:pt idx="0">
                  <c:v>Research Fit</c:v>
                </c:pt>
                <c:pt idx="1">
                  <c:v>Funding Strength</c:v>
                </c:pt>
                <c:pt idx="2">
                  <c:v>Prestige</c:v>
                </c:pt>
                <c:pt idx="3">
                  <c:v>Deadline Urgency</c:v>
                </c:pt>
                <c:pt idx="4">
                  <c:v>Supervisor Responsiveness</c:v>
                </c:pt>
              </c:strCache>
            </c:strRef>
          </c:cat>
          <c:val>
            <c:numRef>
              <c:f>Scoring!$C$5:$C$9</c:f>
              <c:numCache>
                <c:formatCode>General</c:formatCode>
                <c:ptCount val="5"/>
                <c:pt idx="0">
                  <c:v>0</c:v>
                </c:pt>
                <c:pt idx="1">
                  <c:v>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strRef>
              <c:f>Scoring!D4</c:f>
              <c:strCache>
                <c:ptCount val="1"/>
                <c:pt idx="0">
                  <c:v/>
                </c:pt>
              </c:strCache>
            </c:strRef>
          </c:tx>
          <c:spPr>
            <a:gradFill>
              <a:gsLst>
                <a:gs pos="0">
                  <a:srgbClr val="779637"/>
                </a:gs>
                <a:gs pos="80000">
                  <a:srgbClr val="9bc348"/>
                </a:gs>
                <a:gs pos="100000">
                  <a:srgbClr val="9cc745"/>
                </a:gs>
              </a:gsLst>
              <a:lin ang="16200000"/>
            </a:gra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Scoring!$A$5:$A$9</c:f>
              <c:strCache>
                <c:ptCount val="5"/>
                <c:pt idx="0">
                  <c:v>Research Fit</c:v>
                </c:pt>
                <c:pt idx="1">
                  <c:v>Funding Strength</c:v>
                </c:pt>
                <c:pt idx="2">
                  <c:v>Prestige</c:v>
                </c:pt>
                <c:pt idx="3">
                  <c:v>Deadline Urgency</c:v>
                </c:pt>
                <c:pt idx="4">
                  <c:v>Supervisor Responsiveness</c:v>
                </c:pt>
              </c:strCache>
            </c:strRef>
          </c:cat>
          <c:val>
            <c:numRef>
              <c:f>Scoring!$D$5:$D$9</c:f>
              <c:numCache>
                <c:formatCode>General</c:formatCode>
                <c:ptCount val="5"/>
                <c:pt idx="0">
                  <c:v>0</c:v>
                </c:pt>
                <c:pt idx="1">
                  <c:v>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"/>
          <c:order val="3"/>
          <c:tx>
            <c:strRef>
              <c:f>Scoring!E4</c:f>
              <c:strCache>
                <c:ptCount val="1"/>
                <c:pt idx="0">
                  <c:v/>
                </c:pt>
              </c:strCache>
            </c:strRef>
          </c:tx>
          <c:spPr>
            <a:gradFill>
              <a:gsLst>
                <a:gs pos="0">
                  <a:srgbClr val="5e437f"/>
                </a:gs>
                <a:gs pos="80000">
                  <a:srgbClr val="7b57a5"/>
                </a:gs>
                <a:gs pos="100000">
                  <a:srgbClr val="7b57a7"/>
                </a:gs>
              </a:gsLst>
              <a:lin ang="16200000"/>
            </a:gra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Scoring!$A$5:$A$9</c:f>
              <c:strCache>
                <c:ptCount val="5"/>
                <c:pt idx="0">
                  <c:v>Research Fit</c:v>
                </c:pt>
                <c:pt idx="1">
                  <c:v>Funding Strength</c:v>
                </c:pt>
                <c:pt idx="2">
                  <c:v>Prestige</c:v>
                </c:pt>
                <c:pt idx="3">
                  <c:v>Deadline Urgency</c:v>
                </c:pt>
                <c:pt idx="4">
                  <c:v>Supervisor Responsiveness</c:v>
                </c:pt>
              </c:strCache>
            </c:strRef>
          </c:cat>
          <c:val>
            <c:numRef>
              <c:f>Scoring!$E$5:$E$9</c:f>
              <c:numCache>
                <c:formatCode>General</c:formatCode>
                <c:ptCount val="5"/>
                <c:pt idx="0">
                  <c:v>0</c:v>
                </c:pt>
                <c:pt idx="1">
                  <c:v>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61773290"/>
        <c:axId val="94719518"/>
      </c:radarChart>
      <c:catAx>
        <c:axId val="6177329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719518"/>
        <c:crosses val="autoZero"/>
        <c:auto val="1"/>
        <c:lblAlgn val="ctr"/>
        <c:lblOffset val="100"/>
        <c:noMultiLvlLbl val="0"/>
      </c:catAx>
      <c:valAx>
        <c:axId val="94719518"/>
        <c:scaling>
          <c:orientation val="minMax"/>
          <c:max val="1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77329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Status of selected applications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Explorer!C31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0e7c6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Explorer!$B$32:$B$37</c:f>
              <c:strCache>
                <c:ptCount val="6"/>
                <c:pt idx="0">
                  <c:v>Not Started</c:v>
                </c:pt>
                <c:pt idx="1">
                  <c:v>In Progress</c:v>
                </c:pt>
                <c:pt idx="2">
                  <c:v>Submitted</c:v>
                </c:pt>
                <c:pt idx="3">
                  <c:v>Interview</c:v>
                </c:pt>
                <c:pt idx="4">
                  <c:v>Accepted</c:v>
                </c:pt>
                <c:pt idx="5">
                  <c:v>Rejected</c:v>
                </c:pt>
              </c:strCache>
            </c:strRef>
          </c:cat>
          <c:val>
            <c:numRef>
              <c:f>Explorer!$C$32:$C$37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89594441"/>
        <c:axId val="41536203"/>
      </c:barChart>
      <c:catAx>
        <c:axId val="895944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536203"/>
        <c:crosses val="autoZero"/>
        <c:auto val="1"/>
        <c:lblAlgn val="ctr"/>
        <c:lblOffset val="100"/>
        <c:noMultiLvlLbl val="0"/>
      </c:catAx>
      <c:valAx>
        <c:axId val="415362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5944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Shortlist comparison (0-10)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radarChart>
        <c:radarStyle val="filled"/>
        <c:varyColors val="0"/>
        <c:ser>
          <c:idx val="0"/>
          <c:order val="0"/>
          <c:tx>
            <c:strRef>
              <c:f>Scoring!B4</c:f>
              <c:strCache>
                <c:ptCount val="1"/>
                <c:pt idx="0">
                  <c:v>Example: Technical University of Munich</c:v>
                </c:pt>
              </c:strCache>
            </c:strRef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Scoring!$A$5:$A$9</c:f>
              <c:strCache>
                <c:ptCount val="5"/>
                <c:pt idx="0">
                  <c:v>Research Fit</c:v>
                </c:pt>
                <c:pt idx="1">
                  <c:v>Funding Strength</c:v>
                </c:pt>
                <c:pt idx="2">
                  <c:v>Prestige</c:v>
                </c:pt>
                <c:pt idx="3">
                  <c:v>Deadline Urgency</c:v>
                </c:pt>
                <c:pt idx="4">
                  <c:v>Supervisor Responsiveness</c:v>
                </c:pt>
              </c:strCache>
            </c:strRef>
          </c:cat>
          <c:val>
            <c:numRef>
              <c:f>Scoring!$B$5:$B$9</c:f>
              <c:numCache>
                <c:formatCode>General</c:formatCode>
                <c:ptCount val="5"/>
                <c:pt idx="0">
                  <c:v>8</c:v>
                </c:pt>
                <c:pt idx="1">
                  <c:v>10</c:v>
                </c:pt>
                <c:pt idx="2">
                  <c:v>8</c:v>
                </c:pt>
                <c:pt idx="3">
                  <c:v>9</c:v>
                </c:pt>
                <c:pt idx="4">
                  <c:v>7</c:v>
                </c:pt>
              </c:numCache>
            </c:numRef>
          </c:val>
        </c:ser>
        <c:ser>
          <c:idx val="1"/>
          <c:order val="1"/>
          <c:tx>
            <c:strRef>
              <c:f>Scoring!C4</c:f>
              <c:strCache>
                <c:ptCount val="1"/>
                <c:pt idx="0">
                  <c:v/>
                </c:pt>
              </c:strCache>
            </c:strRef>
          </c:tx>
          <c:spPr>
            <a:gradFill>
              <a:gsLst>
                <a:gs pos="0">
                  <a:srgbClr val="9c2f2c"/>
                </a:gs>
                <a:gs pos="80000">
                  <a:srgbClr val="cb3d39"/>
                </a:gs>
                <a:gs pos="100000">
                  <a:srgbClr val="ce3a36"/>
                </a:gs>
              </a:gsLst>
              <a:lin ang="16200000"/>
            </a:gra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Scoring!$A$5:$A$9</c:f>
              <c:strCache>
                <c:ptCount val="5"/>
                <c:pt idx="0">
                  <c:v>Research Fit</c:v>
                </c:pt>
                <c:pt idx="1">
                  <c:v>Funding Strength</c:v>
                </c:pt>
                <c:pt idx="2">
                  <c:v>Prestige</c:v>
                </c:pt>
                <c:pt idx="3">
                  <c:v>Deadline Urgency</c:v>
                </c:pt>
                <c:pt idx="4">
                  <c:v>Supervisor Responsiveness</c:v>
                </c:pt>
              </c:strCache>
            </c:strRef>
          </c:cat>
          <c:val>
            <c:numRef>
              <c:f>Scoring!$C$5:$C$9</c:f>
              <c:numCache>
                <c:formatCode>General</c:formatCode>
                <c:ptCount val="5"/>
                <c:pt idx="0">
                  <c:v>0</c:v>
                </c:pt>
                <c:pt idx="1">
                  <c:v>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strRef>
              <c:f>Scoring!D4</c:f>
              <c:strCache>
                <c:ptCount val="1"/>
                <c:pt idx="0">
                  <c:v/>
                </c:pt>
              </c:strCache>
            </c:strRef>
          </c:tx>
          <c:spPr>
            <a:gradFill>
              <a:gsLst>
                <a:gs pos="0">
                  <a:srgbClr val="779637"/>
                </a:gs>
                <a:gs pos="80000">
                  <a:srgbClr val="9bc348"/>
                </a:gs>
                <a:gs pos="100000">
                  <a:srgbClr val="9cc745"/>
                </a:gs>
              </a:gsLst>
              <a:lin ang="16200000"/>
            </a:gra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Scoring!$A$5:$A$9</c:f>
              <c:strCache>
                <c:ptCount val="5"/>
                <c:pt idx="0">
                  <c:v>Research Fit</c:v>
                </c:pt>
                <c:pt idx="1">
                  <c:v>Funding Strength</c:v>
                </c:pt>
                <c:pt idx="2">
                  <c:v>Prestige</c:v>
                </c:pt>
                <c:pt idx="3">
                  <c:v>Deadline Urgency</c:v>
                </c:pt>
                <c:pt idx="4">
                  <c:v>Supervisor Responsiveness</c:v>
                </c:pt>
              </c:strCache>
            </c:strRef>
          </c:cat>
          <c:val>
            <c:numRef>
              <c:f>Scoring!$D$5:$D$9</c:f>
              <c:numCache>
                <c:formatCode>General</c:formatCode>
                <c:ptCount val="5"/>
                <c:pt idx="0">
                  <c:v>0</c:v>
                </c:pt>
                <c:pt idx="1">
                  <c:v>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"/>
          <c:order val="3"/>
          <c:tx>
            <c:strRef>
              <c:f>Scoring!E4</c:f>
              <c:strCache>
                <c:ptCount val="1"/>
                <c:pt idx="0">
                  <c:v/>
                </c:pt>
              </c:strCache>
            </c:strRef>
          </c:tx>
          <c:spPr>
            <a:gradFill>
              <a:gsLst>
                <a:gs pos="0">
                  <a:srgbClr val="5e437f"/>
                </a:gs>
                <a:gs pos="80000">
                  <a:srgbClr val="7b57a5"/>
                </a:gs>
                <a:gs pos="100000">
                  <a:srgbClr val="7b57a7"/>
                </a:gs>
              </a:gsLst>
              <a:lin ang="16200000"/>
            </a:gra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Scoring!$A$5:$A$9</c:f>
              <c:strCache>
                <c:ptCount val="5"/>
                <c:pt idx="0">
                  <c:v>Research Fit</c:v>
                </c:pt>
                <c:pt idx="1">
                  <c:v>Funding Strength</c:v>
                </c:pt>
                <c:pt idx="2">
                  <c:v>Prestige</c:v>
                </c:pt>
                <c:pt idx="3">
                  <c:v>Deadline Urgency</c:v>
                </c:pt>
                <c:pt idx="4">
                  <c:v>Supervisor Responsiveness</c:v>
                </c:pt>
              </c:strCache>
            </c:strRef>
          </c:cat>
          <c:val>
            <c:numRef>
              <c:f>Scoring!$E$5:$E$9</c:f>
              <c:numCache>
                <c:formatCode>General</c:formatCode>
                <c:ptCount val="5"/>
                <c:pt idx="0">
                  <c:v>0</c:v>
                </c:pt>
                <c:pt idx="1">
                  <c:v>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13376637"/>
        <c:axId val="15949754"/>
      </c:radarChart>
      <c:catAx>
        <c:axId val="1337663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949754"/>
        <c:crosses val="autoZero"/>
        <c:auto val="1"/>
        <c:lblAlgn val="ctr"/>
        <c:lblOffset val="100"/>
        <c:noMultiLvlLbl val="0"/>
      </c:catAx>
      <c:valAx>
        <c:axId val="15949754"/>
        <c:scaling>
          <c:orientation val="minMax"/>
          <c:max val="1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37663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0</xdr:rowOff>
    </xdr:from>
    <xdr:to>
      <xdr:col>5</xdr:col>
      <xdr:colOff>834120</xdr:colOff>
      <xdr:row>24</xdr:row>
      <xdr:rowOff>11880</xdr:rowOff>
    </xdr:to>
    <xdr:graphicFrame>
      <xdr:nvGraphicFramePr>
        <xdr:cNvPr id="0" name="Chart 1"/>
        <xdr:cNvGraphicFramePr/>
      </xdr:nvGraphicFramePr>
      <xdr:xfrm>
        <a:off x="211320" y="2486160"/>
        <a:ext cx="44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8</xdr:row>
      <xdr:rowOff>0</xdr:rowOff>
    </xdr:from>
    <xdr:to>
      <xdr:col>9</xdr:col>
      <xdr:colOff>834480</xdr:colOff>
      <xdr:row>24</xdr:row>
      <xdr:rowOff>11880</xdr:rowOff>
    </xdr:to>
    <xdr:graphicFrame>
      <xdr:nvGraphicFramePr>
        <xdr:cNvPr id="1" name="Chart 2"/>
        <xdr:cNvGraphicFramePr/>
      </xdr:nvGraphicFramePr>
      <xdr:xfrm>
        <a:off x="3876840" y="2486160"/>
        <a:ext cx="44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8</xdr:row>
      <xdr:rowOff>0</xdr:rowOff>
    </xdr:from>
    <xdr:to>
      <xdr:col>14</xdr:col>
      <xdr:colOff>222840</xdr:colOff>
      <xdr:row>24</xdr:row>
      <xdr:rowOff>11880</xdr:rowOff>
    </xdr:to>
    <xdr:graphicFrame>
      <xdr:nvGraphicFramePr>
        <xdr:cNvPr id="2" name="Chart 3"/>
        <xdr:cNvGraphicFramePr/>
      </xdr:nvGraphicFramePr>
      <xdr:xfrm>
        <a:off x="7542000" y="2486160"/>
        <a:ext cx="44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30</xdr:row>
      <xdr:rowOff>0</xdr:rowOff>
    </xdr:from>
    <xdr:to>
      <xdr:col>11</xdr:col>
      <xdr:colOff>103680</xdr:colOff>
      <xdr:row>43</xdr:row>
      <xdr:rowOff>43200</xdr:rowOff>
    </xdr:to>
    <xdr:graphicFrame>
      <xdr:nvGraphicFramePr>
        <xdr:cNvPr id="3" name="Chart 1"/>
        <xdr:cNvGraphicFramePr/>
      </xdr:nvGraphicFramePr>
      <xdr:xfrm>
        <a:off x="5638680" y="712476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78120</xdr:rowOff>
    </xdr:from>
    <xdr:to>
      <xdr:col>3</xdr:col>
      <xdr:colOff>981720</xdr:colOff>
      <xdr:row>30</xdr:row>
      <xdr:rowOff>57960</xdr:rowOff>
    </xdr:to>
    <xdr:graphicFrame>
      <xdr:nvGraphicFramePr>
        <xdr:cNvPr id="4" name="Chart 1"/>
        <xdr:cNvGraphicFramePr/>
      </xdr:nvGraphicFramePr>
      <xdr:xfrm>
        <a:off x="0" y="287640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pplyabroadlab.com/" TargetMode="External"/><Relationship Id="rId2" Type="http://schemas.openxmlformats.org/officeDocument/2006/relationships/hyperlink" Target="Application%20Tracker%20Pro%20-%20Blank%20Template.xlsx" TargetMode="External"/><Relationship Id="rId3" Type="http://schemas.openxmlformats.org/officeDocument/2006/relationships/hyperlink" Target="Application%20Tracker%20Pro%20-%20Blank%20Template.xlsx" TargetMode="External"/><Relationship Id="rId4" Type="http://schemas.openxmlformats.org/officeDocument/2006/relationships/hyperlink" Target="Application%20Tracker%20Pro%20-%20Blank%20Template.xlsx" TargetMode="External"/><Relationship Id="rId5" Type="http://schemas.openxmlformats.org/officeDocument/2006/relationships/hyperlink" Target="Application%20Tracker%20Pro%20-%20Blank%20Template.xlsx" TargetMode="External"/><Relationship Id="rId6" Type="http://schemas.openxmlformats.org/officeDocument/2006/relationships/hyperlink" Target="Application%20Tracker%20Pro%20-%20Blank%20Template.xlsx" TargetMode="External"/><Relationship Id="rId7" Type="http://schemas.openxmlformats.org/officeDocument/2006/relationships/hyperlink" Target="https://applyabroadlab.com/" TargetMode="External"/><Relationship Id="rId8" Type="http://schemas.openxmlformats.org/officeDocument/2006/relationships/hyperlink" Target="https://www.linkedin.com/in/phd-research-plan-applyabroad/" TargetMode="External"/><Relationship Id="rId9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applyabroadlab.com/" TargetMode="External"/><Relationship Id="rId2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applyabroadlab.com/" TargetMode="External"/><Relationship Id="rId2" Type="http://schemas.openxmlformats.org/officeDocument/2006/relationships/hyperlink" Target="https://www.tum.de/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applyabroadlab.com/" TargetMode="External"/><Relationship Id="rId2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applyabroadlab.com/" TargetMode="External"/><Relationship Id="rId2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applyabroadlab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3" min="2" style="0" width="13"/>
    <col collapsed="false" customWidth="true" hidden="false" outlineLevel="0" max="15" min="15" style="0" width="14"/>
    <col collapsed="false" customWidth="true" hidden="false" outlineLevel="0" max="16" min="16" style="0" width="8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9.75" hidden="false" customHeight="true" outlineLevel="0" collapsed="false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B3" s="3" t="str">
        <f aca="true">"Command center for a graduate application campaign  |  Last updated: "&amp;TEXT(TODAY(),"dd-mmm-yyyy")</f>
        <v>Command center for a graduate application campaign  |  Last updated: 21-Sep-2026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15" hidden="false" customHeight="false" outlineLevel="0" collapsed="false">
      <c r="O4" s="4" t="s">
        <v>2</v>
      </c>
    </row>
    <row r="5" customFormat="false" ht="21.75" hidden="false" customHeight="true" outlineLevel="0" collapsed="false">
      <c r="B5" s="5" t="s">
        <v>3</v>
      </c>
      <c r="C5" s="5"/>
      <c r="D5" s="5" t="s">
        <v>4</v>
      </c>
      <c r="E5" s="5"/>
      <c r="F5" s="5" t="s">
        <v>5</v>
      </c>
      <c r="G5" s="5"/>
      <c r="H5" s="5" t="s">
        <v>6</v>
      </c>
      <c r="I5" s="5"/>
      <c r="J5" s="5" t="s">
        <v>7</v>
      </c>
      <c r="K5" s="5"/>
      <c r="L5" s="5" t="s">
        <v>8</v>
      </c>
      <c r="M5" s="5"/>
      <c r="O5" s="6" t="s">
        <v>9</v>
      </c>
      <c r="P5" s="6" t="s">
        <v>10</v>
      </c>
    </row>
    <row r="6" customFormat="false" ht="45.75" hidden="false" customHeight="true" outlineLevel="0" collapsed="false">
      <c r="B6" s="7" t="n">
        <f aca="false">COUNTA(Applications!$B$4:$B$33)</f>
        <v>1</v>
      </c>
      <c r="C6" s="7"/>
      <c r="D6" s="8" t="n">
        <f aca="false">SUMPRODUCT(MIN(IF(Applications!$I$4:$I$33&gt;=0,Applications!$I$4:$I$33)))</f>
        <v>14</v>
      </c>
      <c r="E6" s="8"/>
      <c r="F6" s="7" t="n">
        <f aca="false">SUMPRODUCT((Applications!$K$4:$K$33="High")*(Applications!$J$4:$J$33&lt;&gt;"Submitted")*(Applications!$J$4:$J$33&lt;&gt;"Accepted")*(Applications!$J$4:$J$33&lt;&gt;"Rejected"))</f>
        <v>1</v>
      </c>
      <c r="G6" s="7"/>
      <c r="H6" s="9" t="n">
        <f aca="false">IFERROR(AVERAGE(Applications!$N$4:$N$33),0)</f>
        <v>0.5</v>
      </c>
      <c r="I6" s="9"/>
      <c r="J6" s="7" t="n">
        <f aca="false">COUNTIF(Applications!$J$4:$J$33,"Accepted")</f>
        <v>0</v>
      </c>
      <c r="K6" s="7"/>
      <c r="L6" s="7" t="n">
        <f aca="false">ROUND(AVERAGE(Applications!$L$4:$L$33),1)</f>
        <v>8</v>
      </c>
      <c r="M6" s="7"/>
      <c r="O6" s="6" t="s">
        <v>11</v>
      </c>
      <c r="P6" s="6" t="n">
        <f aca="false">COUNTIF(Applications!$J$4:$J$33,"Not Started")</f>
        <v>0</v>
      </c>
    </row>
    <row r="7" customFormat="false" ht="15" hidden="false" customHeight="false" outlineLevel="0" collapsed="false">
      <c r="O7" s="6" t="s">
        <v>12</v>
      </c>
      <c r="P7" s="6" t="n">
        <f aca="false">COUNTIF(Applications!$J$4:$J$33,"In Progress")</f>
        <v>1</v>
      </c>
    </row>
    <row r="8" customFormat="false" ht="19.5" hidden="false" customHeight="true" outlineLevel="0" collapsed="false">
      <c r="B8" s="10" t="s">
        <v>13</v>
      </c>
      <c r="C8" s="10"/>
      <c r="D8" s="10"/>
      <c r="E8" s="10"/>
      <c r="F8" s="10" t="s">
        <v>14</v>
      </c>
      <c r="G8" s="10"/>
      <c r="H8" s="10"/>
      <c r="I8" s="10"/>
      <c r="J8" s="10" t="s">
        <v>15</v>
      </c>
      <c r="K8" s="10"/>
      <c r="L8" s="10"/>
      <c r="M8" s="10"/>
      <c r="O8" s="6" t="s">
        <v>16</v>
      </c>
      <c r="P8" s="6" t="n">
        <f aca="false">COUNTIF(Applications!$J$4:$J$33,"Submitted")</f>
        <v>0</v>
      </c>
    </row>
    <row r="9" customFormat="false" ht="15" hidden="false" customHeight="false" outlineLevel="0" collapsed="false">
      <c r="O9" s="6" t="s">
        <v>17</v>
      </c>
      <c r="P9" s="6" t="n">
        <f aca="false">COUNTIF(Applications!$J$4:$J$33,"Interview")</f>
        <v>0</v>
      </c>
    </row>
    <row r="10" customFormat="false" ht="15" hidden="false" customHeight="false" outlineLevel="0" collapsed="false">
      <c r="O10" s="6" t="s">
        <v>18</v>
      </c>
      <c r="P10" s="6" t="n">
        <f aca="false">COUNTIF(Applications!$J$4:$J$33,"Accepted")</f>
        <v>0</v>
      </c>
    </row>
    <row r="11" customFormat="false" ht="15" hidden="false" customHeight="false" outlineLevel="0" collapsed="false">
      <c r="O11" s="6" t="s">
        <v>19</v>
      </c>
      <c r="P11" s="6" t="n">
        <f aca="false">COUNTIF(Applications!$J$4:$J$33,"Rejected")</f>
        <v>0</v>
      </c>
    </row>
    <row r="12" customFormat="false" ht="15" hidden="false" customHeight="false" outlineLevel="0" collapsed="false">
      <c r="O12" s="6"/>
      <c r="P12" s="6"/>
    </row>
    <row r="13" customFormat="false" ht="15" hidden="false" customHeight="false" outlineLevel="0" collapsed="false">
      <c r="O13" s="6" t="s">
        <v>20</v>
      </c>
      <c r="P13" s="6" t="s">
        <v>10</v>
      </c>
    </row>
    <row r="14" customFormat="false" ht="15" hidden="false" customHeight="false" outlineLevel="0" collapsed="false">
      <c r="O14" s="6" t="s">
        <v>21</v>
      </c>
      <c r="P14" s="6" t="n">
        <f aca="false">COUNTIF(Applications!$C$4:$C$33,"Germany")</f>
        <v>1</v>
      </c>
    </row>
    <row r="15" customFormat="false" ht="15" hidden="false" customHeight="false" outlineLevel="0" collapsed="false">
      <c r="O15" s="6"/>
      <c r="P15" s="6"/>
    </row>
    <row r="27" customFormat="false" ht="15" hidden="false" customHeight="false" outlineLevel="0" collapsed="false">
      <c r="B27" s="11" t="s">
        <v>22</v>
      </c>
      <c r="C27" s="11"/>
      <c r="D27" s="11"/>
      <c r="E27" s="11"/>
      <c r="F27" s="11"/>
      <c r="G27" s="11"/>
      <c r="I27" s="11" t="s">
        <v>23</v>
      </c>
      <c r="J27" s="11"/>
      <c r="K27" s="11"/>
      <c r="L27" s="11"/>
      <c r="M27" s="11"/>
    </row>
    <row r="28" customFormat="false" ht="15" hidden="false" customHeight="true" outlineLevel="0" collapsed="false">
      <c r="B28" s="12" t="s">
        <v>24</v>
      </c>
      <c r="C28" s="13" t="s">
        <v>25</v>
      </c>
      <c r="D28" s="13"/>
      <c r="E28" s="13" t="s">
        <v>26</v>
      </c>
      <c r="F28" s="13"/>
      <c r="G28" s="12" t="s">
        <v>27</v>
      </c>
      <c r="H28" s="12" t="s">
        <v>28</v>
      </c>
    </row>
    <row r="29" customFormat="false" ht="18" hidden="false" customHeight="true" outlineLevel="0" collapsed="false">
      <c r="B29" s="14" t="n">
        <v>1</v>
      </c>
      <c r="C29" s="15" t="str">
        <f aca="false">IFERROR(INDEX(Applications!$B$4:$B$33,MATCH(SMALL(Applications!$Q$4:$Q$33,1),Applications!$Q$4:$Q$33,0)),"")</f>
        <v>Example: Technical University of Munich</v>
      </c>
      <c r="D29" s="15"/>
      <c r="E29" s="15" t="str">
        <f aca="false">IFERROR(INDEX(Applications!$D$4:$D$33,MATCH(SMALL(Applications!$Q$4:$Q$33,1),Applications!$Q$4:$Q$33,0)),"")</f>
        <v>PhD in Computational Biology</v>
      </c>
      <c r="F29" s="15"/>
      <c r="G29" s="16" t="n">
        <f aca="false">IFERROR(INDEX(Applications!$H$4:$H$33,MATCH(SMALL(Applications!$Q$4:$Q$33,1),Applications!$Q$4:$Q$33,0)),"")</f>
        <v>46300</v>
      </c>
      <c r="H29" s="17" t="n">
        <f aca="false">IFERROR(INDEX(Applications!$I$4:$I$33,MATCH(SMALL(Applications!$Q$4:$Q$33,1),Applications!$Q$4:$Q$33,0)),"")</f>
        <v>14</v>
      </c>
      <c r="I29" s="18" t="s">
        <v>29</v>
      </c>
      <c r="J29" s="18"/>
      <c r="K29" s="18"/>
      <c r="L29" s="18"/>
      <c r="M29" s="18"/>
    </row>
    <row r="30" customFormat="false" ht="18" hidden="false" customHeight="true" outlineLevel="0" collapsed="false">
      <c r="B30" s="14" t="n">
        <v>2</v>
      </c>
      <c r="C30" s="15" t="str">
        <f aca="false">IFERROR(INDEX(Applications!$B$4:$B$33,MATCH(SMALL(Applications!$Q$4:$Q$33,2),Applications!$Q$4:$Q$33,0)),"")</f>
        <v/>
      </c>
      <c r="D30" s="15"/>
      <c r="E30" s="15" t="str">
        <f aca="false">IFERROR(INDEX(Applications!$D$4:$D$33,MATCH(SMALL(Applications!$Q$4:$Q$33,2),Applications!$Q$4:$Q$33,0)),"")</f>
        <v/>
      </c>
      <c r="F30" s="15"/>
      <c r="G30" s="16" t="str">
        <f aca="false">IFERROR(INDEX(Applications!$H$4:$H$33,MATCH(SMALL(Applications!$Q$4:$Q$33,2),Applications!$Q$4:$Q$33,0)),"")</f>
        <v/>
      </c>
      <c r="H30" s="17" t="str">
        <f aca="false">IFERROR(INDEX(Applications!$I$4:$I$33,MATCH(SMALL(Applications!$Q$4:$Q$33,2),Applications!$Q$4:$Q$33,0)),"")</f>
        <v/>
      </c>
      <c r="I30" s="18" t="s">
        <v>30</v>
      </c>
      <c r="J30" s="18"/>
      <c r="K30" s="18"/>
      <c r="L30" s="18"/>
      <c r="M30" s="18"/>
    </row>
    <row r="31" customFormat="false" ht="18" hidden="false" customHeight="true" outlineLevel="0" collapsed="false">
      <c r="B31" s="14" t="n">
        <v>3</v>
      </c>
      <c r="C31" s="15" t="str">
        <f aca="false">IFERROR(INDEX(Applications!$B$4:$B$33,MATCH(SMALL(Applications!$Q$4:$Q$33,3),Applications!$Q$4:$Q$33,0)),"")</f>
        <v/>
      </c>
      <c r="D31" s="15"/>
      <c r="E31" s="15" t="str">
        <f aca="false">IFERROR(INDEX(Applications!$D$4:$D$33,MATCH(SMALL(Applications!$Q$4:$Q$33,3),Applications!$Q$4:$Q$33,0)),"")</f>
        <v/>
      </c>
      <c r="F31" s="15"/>
      <c r="G31" s="16" t="str">
        <f aca="false">IFERROR(INDEX(Applications!$H$4:$H$33,MATCH(SMALL(Applications!$Q$4:$Q$33,3),Applications!$Q$4:$Q$33,0)),"")</f>
        <v/>
      </c>
      <c r="H31" s="17" t="str">
        <f aca="false">IFERROR(INDEX(Applications!$I$4:$I$33,MATCH(SMALL(Applications!$Q$4:$Q$33,3),Applications!$Q$4:$Q$33,0)),"")</f>
        <v/>
      </c>
      <c r="I31" s="18" t="s">
        <v>31</v>
      </c>
      <c r="J31" s="18"/>
      <c r="K31" s="18"/>
      <c r="L31" s="18"/>
      <c r="M31" s="18"/>
    </row>
    <row r="32" customFormat="false" ht="18" hidden="false" customHeight="true" outlineLevel="0" collapsed="false">
      <c r="B32" s="14" t="n">
        <v>4</v>
      </c>
      <c r="C32" s="15" t="str">
        <f aca="false">IFERROR(INDEX(Applications!$B$4:$B$33,MATCH(SMALL(Applications!$Q$4:$Q$33,4),Applications!$Q$4:$Q$33,0)),"")</f>
        <v/>
      </c>
      <c r="D32" s="15"/>
      <c r="E32" s="15" t="str">
        <f aca="false">IFERROR(INDEX(Applications!$D$4:$D$33,MATCH(SMALL(Applications!$Q$4:$Q$33,4),Applications!$Q$4:$Q$33,0)),"")</f>
        <v/>
      </c>
      <c r="F32" s="15"/>
      <c r="G32" s="16" t="str">
        <f aca="false">IFERROR(INDEX(Applications!$H$4:$H$33,MATCH(SMALL(Applications!$Q$4:$Q$33,4),Applications!$Q$4:$Q$33,0)),"")</f>
        <v/>
      </c>
      <c r="H32" s="17" t="str">
        <f aca="false">IFERROR(INDEX(Applications!$I$4:$I$33,MATCH(SMALL(Applications!$Q$4:$Q$33,4),Applications!$Q$4:$Q$33,0)),"")</f>
        <v/>
      </c>
      <c r="I32" s="18" t="s">
        <v>32</v>
      </c>
      <c r="J32" s="18"/>
      <c r="K32" s="18"/>
      <c r="L32" s="18"/>
      <c r="M32" s="18"/>
    </row>
    <row r="33" customFormat="false" ht="18" hidden="false" customHeight="true" outlineLevel="0" collapsed="false">
      <c r="B33" s="14" t="n">
        <v>5</v>
      </c>
      <c r="C33" s="15" t="str">
        <f aca="false">IFERROR(INDEX(Applications!$B$4:$B$33,MATCH(SMALL(Applications!$Q$4:$Q$33,5),Applications!$Q$4:$Q$33,0)),"")</f>
        <v/>
      </c>
      <c r="D33" s="15"/>
      <c r="E33" s="15" t="str">
        <f aca="false">IFERROR(INDEX(Applications!$D$4:$D$33,MATCH(SMALL(Applications!$Q$4:$Q$33,5),Applications!$Q$4:$Q$33,0)),"")</f>
        <v/>
      </c>
      <c r="F33" s="15"/>
      <c r="G33" s="16" t="str">
        <f aca="false">IFERROR(INDEX(Applications!$H$4:$H$33,MATCH(SMALL(Applications!$Q$4:$Q$33,5),Applications!$Q$4:$Q$33,0)),"")</f>
        <v/>
      </c>
      <c r="H33" s="17" t="str">
        <f aca="false">IFERROR(INDEX(Applications!$I$4:$I$33,MATCH(SMALL(Applications!$Q$4:$Q$33,5),Applications!$Q$4:$Q$33,0)),"")</f>
        <v/>
      </c>
      <c r="I33" s="18" t="s">
        <v>33</v>
      </c>
      <c r="J33" s="18"/>
      <c r="K33" s="18"/>
      <c r="L33" s="18"/>
      <c r="M33" s="18"/>
    </row>
    <row r="34" customFormat="false" ht="18" hidden="false" customHeight="true" outlineLevel="0" collapsed="false">
      <c r="B34" s="14" t="n">
        <v>6</v>
      </c>
      <c r="C34" s="15" t="str">
        <f aca="false">IFERROR(INDEX(Applications!$B$4:$B$33,MATCH(SMALL(Applications!$Q$4:$Q$33,6),Applications!$Q$4:$Q$33,0)),"")</f>
        <v/>
      </c>
      <c r="D34" s="15"/>
      <c r="E34" s="15" t="str">
        <f aca="false">IFERROR(INDEX(Applications!$D$4:$D$33,MATCH(SMALL(Applications!$Q$4:$Q$33,6),Applications!$Q$4:$Q$33,0)),"")</f>
        <v/>
      </c>
      <c r="F34" s="15"/>
      <c r="G34" s="16" t="str">
        <f aca="false">IFERROR(INDEX(Applications!$H$4:$H$33,MATCH(SMALL(Applications!$Q$4:$Q$33,6),Applications!$Q$4:$Q$33,0)),"")</f>
        <v/>
      </c>
      <c r="H34" s="17" t="str">
        <f aca="false">IFERROR(INDEX(Applications!$I$4:$I$33,MATCH(SMALL(Applications!$Q$4:$Q$33,6),Applications!$Q$4:$Q$33,0)),"")</f>
        <v/>
      </c>
    </row>
    <row r="36" customFormat="false" ht="15" hidden="false" customHeight="false" outlineLevel="0" collapsed="false">
      <c r="B36" s="19" t="s">
        <v>34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</row>
    <row r="38" customFormat="false" ht="15" hidden="false" customHeight="false" outlineLevel="0" collapsed="false">
      <c r="B38" s="11" t="s">
        <v>35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customFormat="false" ht="15" hidden="false" customHeight="false" outlineLevel="0" collapsed="false">
      <c r="B39" s="20" t="s">
        <v>36</v>
      </c>
      <c r="C39" s="21" t="s">
        <v>37</v>
      </c>
      <c r="D39" s="21"/>
      <c r="E39" s="21"/>
      <c r="F39" s="21"/>
      <c r="G39" s="21"/>
      <c r="H39" s="21"/>
    </row>
    <row r="40" customFormat="false" ht="15" hidden="false" customHeight="false" outlineLevel="0" collapsed="false">
      <c r="B40" s="20" t="s">
        <v>38</v>
      </c>
      <c r="C40" s="21" t="s">
        <v>39</v>
      </c>
      <c r="D40" s="21"/>
      <c r="E40" s="21"/>
      <c r="F40" s="21"/>
      <c r="G40" s="21"/>
      <c r="H40" s="21"/>
    </row>
    <row r="41" customFormat="false" ht="15" hidden="false" customHeight="false" outlineLevel="0" collapsed="false">
      <c r="B41" s="20" t="s">
        <v>40</v>
      </c>
      <c r="C41" s="22" t="s">
        <v>41</v>
      </c>
      <c r="D41" s="22"/>
      <c r="E41" s="22"/>
      <c r="F41" s="22"/>
      <c r="G41" s="22"/>
      <c r="H41" s="22"/>
    </row>
  </sheetData>
  <mergeCells count="44">
    <mergeCell ref="A1:M1"/>
    <mergeCell ref="B2:M2"/>
    <mergeCell ref="B3:M3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L6:M6"/>
    <mergeCell ref="B8:E8"/>
    <mergeCell ref="F8:I8"/>
    <mergeCell ref="J8:M8"/>
    <mergeCell ref="B27:G27"/>
    <mergeCell ref="I27:M27"/>
    <mergeCell ref="C28:D28"/>
    <mergeCell ref="E28:F28"/>
    <mergeCell ref="C29:D29"/>
    <mergeCell ref="E29:F29"/>
    <mergeCell ref="I29:M29"/>
    <mergeCell ref="C30:D30"/>
    <mergeCell ref="E30:F30"/>
    <mergeCell ref="I30:M30"/>
    <mergeCell ref="C31:D31"/>
    <mergeCell ref="E31:F31"/>
    <mergeCell ref="I31:M31"/>
    <mergeCell ref="C32:D32"/>
    <mergeCell ref="E32:F32"/>
    <mergeCell ref="I32:M32"/>
    <mergeCell ref="C33:D33"/>
    <mergeCell ref="E33:F33"/>
    <mergeCell ref="I33:M33"/>
    <mergeCell ref="C34:D34"/>
    <mergeCell ref="E34:F34"/>
    <mergeCell ref="B36:M36"/>
    <mergeCell ref="B38:M38"/>
    <mergeCell ref="C39:H39"/>
    <mergeCell ref="C40:H40"/>
    <mergeCell ref="C41:H41"/>
  </mergeCells>
  <conditionalFormatting sqref="H29:H34">
    <cfRule type="cellIs" priority="2" operator="between" aboveAverage="0" equalAverage="0" bottom="0" percent="0" rank="0" text="" dxfId="0">
      <formula>0</formula>
      <formula>30</formula>
    </cfRule>
  </conditionalFormatting>
  <conditionalFormatting sqref="B29:H34">
    <cfRule type="expression" priority="3" aboveAverage="0" equalAverage="0" bottom="0" percent="0" rank="0" text="" dxfId="1">
      <formula>$C29=""</formula>
    </cfRule>
  </conditionalFormatting>
  <hyperlinks>
    <hyperlink ref="A1" r:id="rId1" display="ApplyAbroadLab.com — Application Tracker Pro"/>
    <hyperlink ref="I29" r:id="rId2" location="'Applications'!A1" display="▶  Applications"/>
    <hyperlink ref="I30" r:id="rId3" location="'Universities%20&amp;%20Supervisors'!A1" display="▶  Universities &amp; Supervisors"/>
    <hyperlink ref="I31" r:id="rId4" location="'Explorer'!A1" display="▶  Explorer (interactive filter)"/>
    <hyperlink ref="I32" r:id="rId5" location="'Scoring'!A1" display="▶  Scoring (radar inputs)"/>
    <hyperlink ref="I33" r:id="rId6" location="'How%20It%20Works'!A1" display="▶  How It Works"/>
    <hyperlink ref="C39" r:id="rId7" display="https://applyabroadlab.com/"/>
    <hyperlink ref="C40" r:id="rId8" display="Apply Abroad Lab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30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24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6" min="16" style="0" width="40"/>
    <col collapsed="false" customWidth="true" hidden="true" outlineLevel="0" max="18" min="17" style="0" width="10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19" t="s">
        <v>42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customFormat="false" ht="30" hidden="false" customHeight="true" outlineLevel="0" collapsed="false">
      <c r="A3" s="23" t="s">
        <v>43</v>
      </c>
      <c r="B3" s="23" t="s">
        <v>25</v>
      </c>
      <c r="C3" s="23" t="s">
        <v>20</v>
      </c>
      <c r="D3" s="23" t="s">
        <v>26</v>
      </c>
      <c r="E3" s="23" t="s">
        <v>44</v>
      </c>
      <c r="F3" s="23" t="s">
        <v>45</v>
      </c>
      <c r="G3" s="23" t="s">
        <v>46</v>
      </c>
      <c r="H3" s="23" t="s">
        <v>27</v>
      </c>
      <c r="I3" s="23" t="s">
        <v>47</v>
      </c>
      <c r="J3" s="23" t="s">
        <v>9</v>
      </c>
      <c r="K3" s="23" t="s">
        <v>48</v>
      </c>
      <c r="L3" s="23" t="s">
        <v>49</v>
      </c>
      <c r="M3" s="23" t="s">
        <v>50</v>
      </c>
      <c r="N3" s="23" t="s">
        <v>51</v>
      </c>
      <c r="O3" s="23" t="s">
        <v>52</v>
      </c>
      <c r="P3" s="23" t="s">
        <v>53</v>
      </c>
      <c r="Q3" s="23" t="s">
        <v>54</v>
      </c>
      <c r="R3" s="23" t="s">
        <v>55</v>
      </c>
    </row>
    <row r="4" customFormat="false" ht="19.5" hidden="false" customHeight="true" outlineLevel="0" collapsed="false">
      <c r="A4" s="24" t="n">
        <v>1</v>
      </c>
      <c r="B4" s="24" t="s">
        <v>56</v>
      </c>
      <c r="C4" s="25" t="str">
        <f aca="false">IFERROR(INDEX('Universities &amp; Supervisors'!$B$4:$B$8,MATCH(B4,'Universities &amp; Supervisors'!$A$4:$A$8,0)),"")</f>
        <v>Germany</v>
      </c>
      <c r="D4" s="26" t="s">
        <v>57</v>
      </c>
      <c r="E4" s="24" t="s">
        <v>58</v>
      </c>
      <c r="F4" s="24" t="s">
        <v>59</v>
      </c>
      <c r="G4" s="25" t="str">
        <f aca="false">IFERROR(INDEX('Universities &amp; Supervisors'!$E$4:$E$8,MATCH(B4,'Universities &amp; Supervisors'!$A$4:$A$8,0)),"")</f>
        <v>Prof. First Last</v>
      </c>
      <c r="H4" s="27" t="n">
        <v>46300</v>
      </c>
      <c r="I4" s="28" t="n">
        <f aca="true">IF(H4="","",H4-TODAY())</f>
        <v>14</v>
      </c>
      <c r="J4" s="24" t="s">
        <v>12</v>
      </c>
      <c r="K4" s="24" t="s">
        <v>60</v>
      </c>
      <c r="L4" s="24" t="n">
        <v>8</v>
      </c>
      <c r="M4" s="25" t="str">
        <f aca="false">IFERROR(INDEX('Universities &amp; Supervisors'!$H$4:$H$8,MATCH(B4,'Universities &amp; Supervisors'!$A$4:$A$8,0)),"")</f>
        <v>Fully funded (example)</v>
      </c>
      <c r="N4" s="29" t="n">
        <v>0.5</v>
      </c>
      <c r="O4" s="27" t="n">
        <v>46280</v>
      </c>
      <c r="P4" s="26" t="s">
        <v>61</v>
      </c>
      <c r="Q4" s="24" t="n">
        <f aca="false">IF(AND(I4&lt;&gt;"",I4&gt;=0,I4&lt;=30),I4+ROW()/100000,"")</f>
        <v>14.00004</v>
      </c>
      <c r="R4" s="24" t="n">
        <f aca="false">IF(AND(OR(Explorer!$C$4="All",C4=Explorer!$C$4),OR(Explorer!$C$5="All",J4=Explorer!$C$5),OR(Explorer!$C$6="All",K4=Explorer!$C$6)),MAX($R$3:R3)+1,"")</f>
        <v>1</v>
      </c>
    </row>
    <row r="5" customFormat="false" ht="19.5" hidden="false" customHeight="true" outlineLevel="0" collapsed="false">
      <c r="A5" s="24" t="n">
        <v>2</v>
      </c>
      <c r="B5" s="24"/>
      <c r="C5" s="25" t="str">
        <f aca="false">IFERROR(INDEX('Universities &amp; Supervisors'!$B$4:$B$8,MATCH(B5,'Universities &amp; Supervisors'!$A$4:$A$8,0)),"")</f>
        <v/>
      </c>
      <c r="D5" s="26"/>
      <c r="E5" s="24"/>
      <c r="F5" s="24"/>
      <c r="G5" s="25" t="str">
        <f aca="false">IFERROR(INDEX('Universities &amp; Supervisors'!$E$4:$E$8,MATCH(B5,'Universities &amp; Supervisors'!$A$4:$A$8,0)),"")</f>
        <v/>
      </c>
      <c r="H5" s="27"/>
      <c r="I5" s="28" t="str">
        <f aca="true">IF(H5="","",H5-TODAY())</f>
        <v/>
      </c>
      <c r="J5" s="24"/>
      <c r="K5" s="24"/>
      <c r="L5" s="24"/>
      <c r="M5" s="25" t="str">
        <f aca="false">IFERROR(INDEX('Universities &amp; Supervisors'!$H$4:$H$8,MATCH(B5,'Universities &amp; Supervisors'!$A$4:$A$8,0)),"")</f>
        <v/>
      </c>
      <c r="N5" s="29"/>
      <c r="O5" s="27"/>
      <c r="P5" s="26"/>
      <c r="Q5" s="24" t="str">
        <f aca="false">IF(AND(I5&lt;&gt;"",I5&gt;=0,I5&lt;=30),I5+ROW()/100000,"")</f>
        <v/>
      </c>
      <c r="R5" s="24" t="n">
        <f aca="false">IF(AND(OR(Explorer!$C$4="All",C5=Explorer!$C$4),OR(Explorer!$C$5="All",J5=Explorer!$C$5),OR(Explorer!$C$6="All",K5=Explorer!$C$6)),MAX($R$3:R4)+1,"")</f>
        <v>2</v>
      </c>
    </row>
    <row r="6" customFormat="false" ht="19.5" hidden="false" customHeight="true" outlineLevel="0" collapsed="false">
      <c r="A6" s="24" t="n">
        <v>3</v>
      </c>
      <c r="B6" s="24"/>
      <c r="C6" s="25" t="str">
        <f aca="false">IFERROR(INDEX('Universities &amp; Supervisors'!$B$4:$B$8,MATCH(B6,'Universities &amp; Supervisors'!$A$4:$A$8,0)),"")</f>
        <v/>
      </c>
      <c r="D6" s="26"/>
      <c r="E6" s="24"/>
      <c r="F6" s="24"/>
      <c r="G6" s="25" t="str">
        <f aca="false">IFERROR(INDEX('Universities &amp; Supervisors'!$E$4:$E$8,MATCH(B6,'Universities &amp; Supervisors'!$A$4:$A$8,0)),"")</f>
        <v/>
      </c>
      <c r="H6" s="27"/>
      <c r="I6" s="28" t="str">
        <f aca="true">IF(H6="","",H6-TODAY())</f>
        <v/>
      </c>
      <c r="J6" s="24"/>
      <c r="K6" s="24"/>
      <c r="L6" s="24"/>
      <c r="M6" s="25" t="str">
        <f aca="false">IFERROR(INDEX('Universities &amp; Supervisors'!$H$4:$H$8,MATCH(B6,'Universities &amp; Supervisors'!$A$4:$A$8,0)),"")</f>
        <v/>
      </c>
      <c r="N6" s="29"/>
      <c r="O6" s="27"/>
      <c r="P6" s="26"/>
      <c r="Q6" s="24" t="str">
        <f aca="false">IF(AND(I6&lt;&gt;"",I6&gt;=0,I6&lt;=30),I6+ROW()/100000,"")</f>
        <v/>
      </c>
      <c r="R6" s="24" t="n">
        <f aca="false">IF(AND(OR(Explorer!$C$4="All",C6=Explorer!$C$4),OR(Explorer!$C$5="All",J6=Explorer!$C$5),OR(Explorer!$C$6="All",K6=Explorer!$C$6)),MAX($R$3:R5)+1,"")</f>
        <v>3</v>
      </c>
    </row>
    <row r="7" customFormat="false" ht="19.5" hidden="false" customHeight="true" outlineLevel="0" collapsed="false">
      <c r="A7" s="24" t="n">
        <v>4</v>
      </c>
      <c r="B7" s="24"/>
      <c r="C7" s="25" t="str">
        <f aca="false">IFERROR(INDEX('Universities &amp; Supervisors'!$B$4:$B$8,MATCH(B7,'Universities &amp; Supervisors'!$A$4:$A$8,0)),"")</f>
        <v/>
      </c>
      <c r="D7" s="26"/>
      <c r="E7" s="24"/>
      <c r="F7" s="24"/>
      <c r="G7" s="25" t="str">
        <f aca="false">IFERROR(INDEX('Universities &amp; Supervisors'!$E$4:$E$8,MATCH(B7,'Universities &amp; Supervisors'!$A$4:$A$8,0)),"")</f>
        <v/>
      </c>
      <c r="H7" s="27"/>
      <c r="I7" s="28" t="str">
        <f aca="true">IF(H7="","",H7-TODAY())</f>
        <v/>
      </c>
      <c r="J7" s="24"/>
      <c r="K7" s="24"/>
      <c r="L7" s="24"/>
      <c r="M7" s="25" t="str">
        <f aca="false">IFERROR(INDEX('Universities &amp; Supervisors'!$H$4:$H$8,MATCH(B7,'Universities &amp; Supervisors'!$A$4:$A$8,0)),"")</f>
        <v/>
      </c>
      <c r="N7" s="29"/>
      <c r="O7" s="27"/>
      <c r="P7" s="26"/>
      <c r="Q7" s="24" t="str">
        <f aca="false">IF(AND(I7&lt;&gt;"",I7&gt;=0,I7&lt;=30),I7+ROW()/100000,"")</f>
        <v/>
      </c>
      <c r="R7" s="24" t="n">
        <f aca="false">IF(AND(OR(Explorer!$C$4="All",C7=Explorer!$C$4),OR(Explorer!$C$5="All",J7=Explorer!$C$5),OR(Explorer!$C$6="All",K7=Explorer!$C$6)),MAX($R$3:R6)+1,"")</f>
        <v>4</v>
      </c>
    </row>
    <row r="8" customFormat="false" ht="19.5" hidden="false" customHeight="true" outlineLevel="0" collapsed="false">
      <c r="A8" s="24" t="n">
        <v>5</v>
      </c>
      <c r="B8" s="24"/>
      <c r="C8" s="25" t="str">
        <f aca="false">IFERROR(INDEX('Universities &amp; Supervisors'!$B$4:$B$8,MATCH(B8,'Universities &amp; Supervisors'!$A$4:$A$8,0)),"")</f>
        <v/>
      </c>
      <c r="D8" s="26"/>
      <c r="E8" s="24"/>
      <c r="F8" s="24"/>
      <c r="G8" s="25" t="str">
        <f aca="false">IFERROR(INDEX('Universities &amp; Supervisors'!$E$4:$E$8,MATCH(B8,'Universities &amp; Supervisors'!$A$4:$A$8,0)),"")</f>
        <v/>
      </c>
      <c r="H8" s="27"/>
      <c r="I8" s="28" t="str">
        <f aca="true">IF(H8="","",H8-TODAY())</f>
        <v/>
      </c>
      <c r="J8" s="24"/>
      <c r="K8" s="24"/>
      <c r="L8" s="24"/>
      <c r="M8" s="25" t="str">
        <f aca="false">IFERROR(INDEX('Universities &amp; Supervisors'!$H$4:$H$8,MATCH(B8,'Universities &amp; Supervisors'!$A$4:$A$8,0)),"")</f>
        <v/>
      </c>
      <c r="N8" s="29"/>
      <c r="O8" s="27"/>
      <c r="P8" s="26"/>
      <c r="Q8" s="24" t="str">
        <f aca="false">IF(AND(I8&lt;&gt;"",I8&gt;=0,I8&lt;=30),I8+ROW()/100000,"")</f>
        <v/>
      </c>
      <c r="R8" s="24" t="n">
        <f aca="false">IF(AND(OR(Explorer!$C$4="All",C8=Explorer!$C$4),OR(Explorer!$C$5="All",J8=Explorer!$C$5),OR(Explorer!$C$6="All",K8=Explorer!$C$6)),MAX($R$3:R7)+1,"")</f>
        <v>5</v>
      </c>
    </row>
    <row r="9" customFormat="false" ht="19.5" hidden="false" customHeight="true" outlineLevel="0" collapsed="false">
      <c r="A9" s="24" t="n">
        <v>6</v>
      </c>
      <c r="B9" s="24"/>
      <c r="C9" s="25" t="str">
        <f aca="false">IFERROR(INDEX('Universities &amp; Supervisors'!$B$4:$B$8,MATCH(B9,'Universities &amp; Supervisors'!$A$4:$A$8,0)),"")</f>
        <v/>
      </c>
      <c r="D9" s="26"/>
      <c r="E9" s="24"/>
      <c r="F9" s="24"/>
      <c r="G9" s="25" t="str">
        <f aca="false">IFERROR(INDEX('Universities &amp; Supervisors'!$E$4:$E$8,MATCH(B9,'Universities &amp; Supervisors'!$A$4:$A$8,0)),"")</f>
        <v/>
      </c>
      <c r="H9" s="27"/>
      <c r="I9" s="28" t="str">
        <f aca="true">IF(H9="","",H9-TODAY())</f>
        <v/>
      </c>
      <c r="J9" s="24"/>
      <c r="K9" s="24"/>
      <c r="L9" s="24"/>
      <c r="M9" s="25" t="str">
        <f aca="false">IFERROR(INDEX('Universities &amp; Supervisors'!$H$4:$H$8,MATCH(B9,'Universities &amp; Supervisors'!$A$4:$A$8,0)),"")</f>
        <v/>
      </c>
      <c r="N9" s="29"/>
      <c r="O9" s="27"/>
      <c r="P9" s="26"/>
      <c r="Q9" s="24" t="str">
        <f aca="false">IF(AND(I9&lt;&gt;"",I9&gt;=0,I9&lt;=30),I9+ROW()/100000,"")</f>
        <v/>
      </c>
      <c r="R9" s="24" t="n">
        <f aca="false">IF(AND(OR(Explorer!$C$4="All",C9=Explorer!$C$4),OR(Explorer!$C$5="All",J9=Explorer!$C$5),OR(Explorer!$C$6="All",K9=Explorer!$C$6)),MAX($R$3:R8)+1,"")</f>
        <v>6</v>
      </c>
    </row>
    <row r="10" customFormat="false" ht="19.5" hidden="false" customHeight="true" outlineLevel="0" collapsed="false">
      <c r="A10" s="24" t="n">
        <v>7</v>
      </c>
      <c r="B10" s="24"/>
      <c r="C10" s="25" t="str">
        <f aca="false">IFERROR(INDEX('Universities &amp; Supervisors'!$B$4:$B$8,MATCH(B10,'Universities &amp; Supervisors'!$A$4:$A$8,0)),"")</f>
        <v/>
      </c>
      <c r="D10" s="26"/>
      <c r="E10" s="24"/>
      <c r="F10" s="24"/>
      <c r="G10" s="25" t="str">
        <f aca="false">IFERROR(INDEX('Universities &amp; Supervisors'!$E$4:$E$8,MATCH(B10,'Universities &amp; Supervisors'!$A$4:$A$8,0)),"")</f>
        <v/>
      </c>
      <c r="H10" s="27"/>
      <c r="I10" s="28" t="str">
        <f aca="true">IF(H10="","",H10-TODAY())</f>
        <v/>
      </c>
      <c r="J10" s="24"/>
      <c r="K10" s="24"/>
      <c r="L10" s="24"/>
      <c r="M10" s="25" t="str">
        <f aca="false">IFERROR(INDEX('Universities &amp; Supervisors'!$H$4:$H$8,MATCH(B10,'Universities &amp; Supervisors'!$A$4:$A$8,0)),"")</f>
        <v/>
      </c>
      <c r="N10" s="29"/>
      <c r="O10" s="27"/>
      <c r="P10" s="26"/>
      <c r="Q10" s="24" t="str">
        <f aca="false">IF(AND(I10&lt;&gt;"",I10&gt;=0,I10&lt;=30),I10+ROW()/100000,"")</f>
        <v/>
      </c>
      <c r="R10" s="24" t="n">
        <f aca="false">IF(AND(OR(Explorer!$C$4="All",C10=Explorer!$C$4),OR(Explorer!$C$5="All",J10=Explorer!$C$5),OR(Explorer!$C$6="All",K10=Explorer!$C$6)),MAX($R$3:R9)+1,"")</f>
        <v>7</v>
      </c>
    </row>
    <row r="11" customFormat="false" ht="19.5" hidden="false" customHeight="true" outlineLevel="0" collapsed="false">
      <c r="A11" s="24" t="n">
        <v>8</v>
      </c>
      <c r="B11" s="24"/>
      <c r="C11" s="25" t="str">
        <f aca="false">IFERROR(INDEX('Universities &amp; Supervisors'!$B$4:$B$8,MATCH(B11,'Universities &amp; Supervisors'!$A$4:$A$8,0)),"")</f>
        <v/>
      </c>
      <c r="D11" s="26"/>
      <c r="E11" s="24"/>
      <c r="F11" s="24"/>
      <c r="G11" s="25" t="str">
        <f aca="false">IFERROR(INDEX('Universities &amp; Supervisors'!$E$4:$E$8,MATCH(B11,'Universities &amp; Supervisors'!$A$4:$A$8,0)),"")</f>
        <v/>
      </c>
      <c r="H11" s="27"/>
      <c r="I11" s="28" t="str">
        <f aca="true">IF(H11="","",H11-TODAY())</f>
        <v/>
      </c>
      <c r="J11" s="24"/>
      <c r="K11" s="24"/>
      <c r="L11" s="24"/>
      <c r="M11" s="25" t="str">
        <f aca="false">IFERROR(INDEX('Universities &amp; Supervisors'!$H$4:$H$8,MATCH(B11,'Universities &amp; Supervisors'!$A$4:$A$8,0)),"")</f>
        <v/>
      </c>
      <c r="N11" s="29"/>
      <c r="O11" s="27"/>
      <c r="P11" s="26"/>
      <c r="Q11" s="24" t="str">
        <f aca="false">IF(AND(I11&lt;&gt;"",I11&gt;=0,I11&lt;=30),I11+ROW()/100000,"")</f>
        <v/>
      </c>
      <c r="R11" s="24" t="n">
        <f aca="false">IF(AND(OR(Explorer!$C$4="All",C11=Explorer!$C$4),OR(Explorer!$C$5="All",J11=Explorer!$C$5),OR(Explorer!$C$6="All",K11=Explorer!$C$6)),MAX($R$3:R10)+1,"")</f>
        <v>8</v>
      </c>
    </row>
    <row r="12" customFormat="false" ht="19.5" hidden="false" customHeight="true" outlineLevel="0" collapsed="false">
      <c r="A12" s="24" t="n">
        <v>9</v>
      </c>
      <c r="B12" s="24"/>
      <c r="C12" s="25" t="str">
        <f aca="false">IFERROR(INDEX('Universities &amp; Supervisors'!$B$4:$B$8,MATCH(B12,'Universities &amp; Supervisors'!$A$4:$A$8,0)),"")</f>
        <v/>
      </c>
      <c r="D12" s="26"/>
      <c r="E12" s="24"/>
      <c r="F12" s="24"/>
      <c r="G12" s="25" t="str">
        <f aca="false">IFERROR(INDEX('Universities &amp; Supervisors'!$E$4:$E$8,MATCH(B12,'Universities &amp; Supervisors'!$A$4:$A$8,0)),"")</f>
        <v/>
      </c>
      <c r="H12" s="27"/>
      <c r="I12" s="28" t="str">
        <f aca="true">IF(H12="","",H12-TODAY())</f>
        <v/>
      </c>
      <c r="J12" s="24"/>
      <c r="K12" s="24"/>
      <c r="L12" s="24"/>
      <c r="M12" s="25" t="str">
        <f aca="false">IFERROR(INDEX('Universities &amp; Supervisors'!$H$4:$H$8,MATCH(B12,'Universities &amp; Supervisors'!$A$4:$A$8,0)),"")</f>
        <v/>
      </c>
      <c r="N12" s="29"/>
      <c r="O12" s="27"/>
      <c r="P12" s="26"/>
      <c r="Q12" s="24" t="str">
        <f aca="false">IF(AND(I12&lt;&gt;"",I12&gt;=0,I12&lt;=30),I12+ROW()/100000,"")</f>
        <v/>
      </c>
      <c r="R12" s="24" t="n">
        <f aca="false">IF(AND(OR(Explorer!$C$4="All",C12=Explorer!$C$4),OR(Explorer!$C$5="All",J12=Explorer!$C$5),OR(Explorer!$C$6="All",K12=Explorer!$C$6)),MAX($R$3:R11)+1,"")</f>
        <v>9</v>
      </c>
    </row>
    <row r="13" customFormat="false" ht="19.5" hidden="false" customHeight="true" outlineLevel="0" collapsed="false">
      <c r="A13" s="24" t="n">
        <v>10</v>
      </c>
      <c r="B13" s="24"/>
      <c r="C13" s="25" t="str">
        <f aca="false">IFERROR(INDEX('Universities &amp; Supervisors'!$B$4:$B$8,MATCH(B13,'Universities &amp; Supervisors'!$A$4:$A$8,0)),"")</f>
        <v/>
      </c>
      <c r="D13" s="26"/>
      <c r="E13" s="24"/>
      <c r="F13" s="24"/>
      <c r="G13" s="25" t="str">
        <f aca="false">IFERROR(INDEX('Universities &amp; Supervisors'!$E$4:$E$8,MATCH(B13,'Universities &amp; Supervisors'!$A$4:$A$8,0)),"")</f>
        <v/>
      </c>
      <c r="H13" s="27"/>
      <c r="I13" s="28" t="str">
        <f aca="true">IF(H13="","",H13-TODAY())</f>
        <v/>
      </c>
      <c r="J13" s="24"/>
      <c r="K13" s="24"/>
      <c r="L13" s="24"/>
      <c r="M13" s="25" t="str">
        <f aca="false">IFERROR(INDEX('Universities &amp; Supervisors'!$H$4:$H$8,MATCH(B13,'Universities &amp; Supervisors'!$A$4:$A$8,0)),"")</f>
        <v/>
      </c>
      <c r="N13" s="29"/>
      <c r="O13" s="27"/>
      <c r="P13" s="26"/>
      <c r="Q13" s="24" t="str">
        <f aca="false">IF(AND(I13&lt;&gt;"",I13&gt;=0,I13&lt;=30),I13+ROW()/100000,"")</f>
        <v/>
      </c>
      <c r="R13" s="24" t="n">
        <f aca="false">IF(AND(OR(Explorer!$C$4="All",C13=Explorer!$C$4),OR(Explorer!$C$5="All",J13=Explorer!$C$5),OR(Explorer!$C$6="All",K13=Explorer!$C$6)),MAX($R$3:R12)+1,"")</f>
        <v>10</v>
      </c>
    </row>
    <row r="14" customFormat="false" ht="19.5" hidden="false" customHeight="true" outlineLevel="0" collapsed="false">
      <c r="A14" s="24" t="n">
        <v>11</v>
      </c>
      <c r="B14" s="24"/>
      <c r="C14" s="25" t="str">
        <f aca="false">IFERROR(INDEX('Universities &amp; Supervisors'!$B$4:$B$8,MATCH(B14,'Universities &amp; Supervisors'!$A$4:$A$8,0)),"")</f>
        <v/>
      </c>
      <c r="D14" s="26"/>
      <c r="E14" s="24"/>
      <c r="F14" s="24"/>
      <c r="G14" s="25" t="str">
        <f aca="false">IFERROR(INDEX('Universities &amp; Supervisors'!$E$4:$E$8,MATCH(B14,'Universities &amp; Supervisors'!$A$4:$A$8,0)),"")</f>
        <v/>
      </c>
      <c r="H14" s="27"/>
      <c r="I14" s="28" t="str">
        <f aca="true">IF(H14="","",H14-TODAY())</f>
        <v/>
      </c>
      <c r="J14" s="24"/>
      <c r="K14" s="24"/>
      <c r="L14" s="24"/>
      <c r="M14" s="25" t="str">
        <f aca="false">IFERROR(INDEX('Universities &amp; Supervisors'!$H$4:$H$8,MATCH(B14,'Universities &amp; Supervisors'!$A$4:$A$8,0)),"")</f>
        <v/>
      </c>
      <c r="N14" s="29"/>
      <c r="O14" s="27"/>
      <c r="P14" s="26"/>
      <c r="Q14" s="24" t="str">
        <f aca="false">IF(AND(I14&lt;&gt;"",I14&gt;=0,I14&lt;=30),I14+ROW()/100000,"")</f>
        <v/>
      </c>
      <c r="R14" s="24" t="n">
        <f aca="false">IF(AND(OR(Explorer!$C$4="All",C14=Explorer!$C$4),OR(Explorer!$C$5="All",J14=Explorer!$C$5),OR(Explorer!$C$6="All",K14=Explorer!$C$6)),MAX($R$3:R13)+1,"")</f>
        <v>11</v>
      </c>
    </row>
    <row r="15" customFormat="false" ht="19.5" hidden="false" customHeight="true" outlineLevel="0" collapsed="false">
      <c r="A15" s="24" t="n">
        <v>12</v>
      </c>
      <c r="B15" s="24"/>
      <c r="C15" s="25" t="str">
        <f aca="false">IFERROR(INDEX('Universities &amp; Supervisors'!$B$4:$B$8,MATCH(B15,'Universities &amp; Supervisors'!$A$4:$A$8,0)),"")</f>
        <v/>
      </c>
      <c r="D15" s="26"/>
      <c r="E15" s="24"/>
      <c r="F15" s="24"/>
      <c r="G15" s="25" t="str">
        <f aca="false">IFERROR(INDEX('Universities &amp; Supervisors'!$E$4:$E$8,MATCH(B15,'Universities &amp; Supervisors'!$A$4:$A$8,0)),"")</f>
        <v/>
      </c>
      <c r="H15" s="27"/>
      <c r="I15" s="28" t="str">
        <f aca="true">IF(H15="","",H15-TODAY())</f>
        <v/>
      </c>
      <c r="J15" s="24"/>
      <c r="K15" s="24"/>
      <c r="L15" s="24"/>
      <c r="M15" s="25" t="str">
        <f aca="false">IFERROR(INDEX('Universities &amp; Supervisors'!$H$4:$H$8,MATCH(B15,'Universities &amp; Supervisors'!$A$4:$A$8,0)),"")</f>
        <v/>
      </c>
      <c r="N15" s="29"/>
      <c r="O15" s="27"/>
      <c r="P15" s="26"/>
      <c r="Q15" s="24" t="str">
        <f aca="false">IF(AND(I15&lt;&gt;"",I15&gt;=0,I15&lt;=30),I15+ROW()/100000,"")</f>
        <v/>
      </c>
      <c r="R15" s="24" t="n">
        <f aca="false">IF(AND(OR(Explorer!$C$4="All",C15=Explorer!$C$4),OR(Explorer!$C$5="All",J15=Explorer!$C$5),OR(Explorer!$C$6="All",K15=Explorer!$C$6)),MAX($R$3:R14)+1,"")</f>
        <v>12</v>
      </c>
    </row>
    <row r="16" customFormat="false" ht="19.5" hidden="false" customHeight="true" outlineLevel="0" collapsed="false">
      <c r="A16" s="24" t="n">
        <v>13</v>
      </c>
      <c r="B16" s="24"/>
      <c r="C16" s="25" t="str">
        <f aca="false">IFERROR(INDEX('Universities &amp; Supervisors'!$B$4:$B$8,MATCH(B16,'Universities &amp; Supervisors'!$A$4:$A$8,0)),"")</f>
        <v/>
      </c>
      <c r="D16" s="26"/>
      <c r="E16" s="24"/>
      <c r="F16" s="24"/>
      <c r="G16" s="25" t="str">
        <f aca="false">IFERROR(INDEX('Universities &amp; Supervisors'!$E$4:$E$8,MATCH(B16,'Universities &amp; Supervisors'!$A$4:$A$8,0)),"")</f>
        <v/>
      </c>
      <c r="H16" s="27"/>
      <c r="I16" s="28" t="str">
        <f aca="true">IF(H16="","",H16-TODAY())</f>
        <v/>
      </c>
      <c r="J16" s="24"/>
      <c r="K16" s="24"/>
      <c r="L16" s="24"/>
      <c r="M16" s="25" t="str">
        <f aca="false">IFERROR(INDEX('Universities &amp; Supervisors'!$H$4:$H$8,MATCH(B16,'Universities &amp; Supervisors'!$A$4:$A$8,0)),"")</f>
        <v/>
      </c>
      <c r="N16" s="29"/>
      <c r="O16" s="27"/>
      <c r="P16" s="26"/>
      <c r="Q16" s="24" t="str">
        <f aca="false">IF(AND(I16&lt;&gt;"",I16&gt;=0,I16&lt;=30),I16+ROW()/100000,"")</f>
        <v/>
      </c>
      <c r="R16" s="24" t="n">
        <f aca="false">IF(AND(OR(Explorer!$C$4="All",C16=Explorer!$C$4),OR(Explorer!$C$5="All",J16=Explorer!$C$5),OR(Explorer!$C$6="All",K16=Explorer!$C$6)),MAX($R$3:R15)+1,"")</f>
        <v>13</v>
      </c>
    </row>
    <row r="17" customFormat="false" ht="19.5" hidden="false" customHeight="true" outlineLevel="0" collapsed="false">
      <c r="A17" s="24" t="n">
        <v>14</v>
      </c>
      <c r="B17" s="24"/>
      <c r="C17" s="25" t="str">
        <f aca="false">IFERROR(INDEX('Universities &amp; Supervisors'!$B$4:$B$8,MATCH(B17,'Universities &amp; Supervisors'!$A$4:$A$8,0)),"")</f>
        <v/>
      </c>
      <c r="D17" s="26"/>
      <c r="E17" s="24"/>
      <c r="F17" s="24"/>
      <c r="G17" s="25" t="str">
        <f aca="false">IFERROR(INDEX('Universities &amp; Supervisors'!$E$4:$E$8,MATCH(B17,'Universities &amp; Supervisors'!$A$4:$A$8,0)),"")</f>
        <v/>
      </c>
      <c r="H17" s="27"/>
      <c r="I17" s="28" t="str">
        <f aca="true">IF(H17="","",H17-TODAY())</f>
        <v/>
      </c>
      <c r="J17" s="24"/>
      <c r="K17" s="24"/>
      <c r="L17" s="24"/>
      <c r="M17" s="25" t="str">
        <f aca="false">IFERROR(INDEX('Universities &amp; Supervisors'!$H$4:$H$8,MATCH(B17,'Universities &amp; Supervisors'!$A$4:$A$8,0)),"")</f>
        <v/>
      </c>
      <c r="N17" s="29"/>
      <c r="O17" s="27"/>
      <c r="P17" s="26"/>
      <c r="Q17" s="24" t="str">
        <f aca="false">IF(AND(I17&lt;&gt;"",I17&gt;=0,I17&lt;=30),I17+ROW()/100000,"")</f>
        <v/>
      </c>
      <c r="R17" s="24" t="n">
        <f aca="false">IF(AND(OR(Explorer!$C$4="All",C17=Explorer!$C$4),OR(Explorer!$C$5="All",J17=Explorer!$C$5),OR(Explorer!$C$6="All",K17=Explorer!$C$6)),MAX($R$3:R16)+1,"")</f>
        <v>14</v>
      </c>
    </row>
    <row r="18" customFormat="false" ht="19.5" hidden="false" customHeight="true" outlineLevel="0" collapsed="false">
      <c r="A18" s="24" t="n">
        <v>15</v>
      </c>
      <c r="B18" s="24"/>
      <c r="C18" s="25" t="str">
        <f aca="false">IFERROR(INDEX('Universities &amp; Supervisors'!$B$4:$B$8,MATCH(B18,'Universities &amp; Supervisors'!$A$4:$A$8,0)),"")</f>
        <v/>
      </c>
      <c r="D18" s="26"/>
      <c r="E18" s="24"/>
      <c r="F18" s="24"/>
      <c r="G18" s="25" t="str">
        <f aca="false">IFERROR(INDEX('Universities &amp; Supervisors'!$E$4:$E$8,MATCH(B18,'Universities &amp; Supervisors'!$A$4:$A$8,0)),"")</f>
        <v/>
      </c>
      <c r="H18" s="27"/>
      <c r="I18" s="28" t="str">
        <f aca="true">IF(H18="","",H18-TODAY())</f>
        <v/>
      </c>
      <c r="J18" s="24"/>
      <c r="K18" s="24"/>
      <c r="L18" s="24"/>
      <c r="M18" s="25" t="str">
        <f aca="false">IFERROR(INDEX('Universities &amp; Supervisors'!$H$4:$H$8,MATCH(B18,'Universities &amp; Supervisors'!$A$4:$A$8,0)),"")</f>
        <v/>
      </c>
      <c r="N18" s="29"/>
      <c r="O18" s="27"/>
      <c r="P18" s="26"/>
      <c r="Q18" s="24" t="str">
        <f aca="false">IF(AND(I18&lt;&gt;"",I18&gt;=0,I18&lt;=30),I18+ROW()/100000,"")</f>
        <v/>
      </c>
      <c r="R18" s="24" t="n">
        <f aca="false">IF(AND(OR(Explorer!$C$4="All",C18=Explorer!$C$4),OR(Explorer!$C$5="All",J18=Explorer!$C$5),OR(Explorer!$C$6="All",K18=Explorer!$C$6)),MAX($R$3:R17)+1,"")</f>
        <v>15</v>
      </c>
    </row>
    <row r="19" customFormat="false" ht="19.5" hidden="false" customHeight="true" outlineLevel="0" collapsed="false">
      <c r="A19" s="24" t="n">
        <v>16</v>
      </c>
      <c r="B19" s="24"/>
      <c r="C19" s="25" t="str">
        <f aca="false">IFERROR(INDEX('Universities &amp; Supervisors'!$B$4:$B$8,MATCH(B19,'Universities &amp; Supervisors'!$A$4:$A$8,0)),"")</f>
        <v/>
      </c>
      <c r="D19" s="26"/>
      <c r="E19" s="24"/>
      <c r="F19" s="24"/>
      <c r="G19" s="25" t="str">
        <f aca="false">IFERROR(INDEX('Universities &amp; Supervisors'!$E$4:$E$8,MATCH(B19,'Universities &amp; Supervisors'!$A$4:$A$8,0)),"")</f>
        <v/>
      </c>
      <c r="H19" s="27"/>
      <c r="I19" s="28" t="str">
        <f aca="true">IF(H19="","",H19-TODAY())</f>
        <v/>
      </c>
      <c r="J19" s="24"/>
      <c r="K19" s="24"/>
      <c r="L19" s="24"/>
      <c r="M19" s="25" t="str">
        <f aca="false">IFERROR(INDEX('Universities &amp; Supervisors'!$H$4:$H$8,MATCH(B19,'Universities &amp; Supervisors'!$A$4:$A$8,0)),"")</f>
        <v/>
      </c>
      <c r="N19" s="29"/>
      <c r="O19" s="27"/>
      <c r="P19" s="26"/>
      <c r="Q19" s="24" t="str">
        <f aca="false">IF(AND(I19&lt;&gt;"",I19&gt;=0,I19&lt;=30),I19+ROW()/100000,"")</f>
        <v/>
      </c>
      <c r="R19" s="24" t="n">
        <f aca="false">IF(AND(OR(Explorer!$C$4="All",C19=Explorer!$C$4),OR(Explorer!$C$5="All",J19=Explorer!$C$5),OR(Explorer!$C$6="All",K19=Explorer!$C$6)),MAX($R$3:R18)+1,"")</f>
        <v>16</v>
      </c>
    </row>
    <row r="20" customFormat="false" ht="19.5" hidden="false" customHeight="true" outlineLevel="0" collapsed="false">
      <c r="A20" s="24" t="n">
        <v>17</v>
      </c>
      <c r="B20" s="24"/>
      <c r="C20" s="25" t="str">
        <f aca="false">IFERROR(INDEX('Universities &amp; Supervisors'!$B$4:$B$8,MATCH(B20,'Universities &amp; Supervisors'!$A$4:$A$8,0)),"")</f>
        <v/>
      </c>
      <c r="D20" s="26"/>
      <c r="E20" s="24"/>
      <c r="F20" s="24"/>
      <c r="G20" s="25" t="str">
        <f aca="false">IFERROR(INDEX('Universities &amp; Supervisors'!$E$4:$E$8,MATCH(B20,'Universities &amp; Supervisors'!$A$4:$A$8,0)),"")</f>
        <v/>
      </c>
      <c r="H20" s="27"/>
      <c r="I20" s="28" t="str">
        <f aca="true">IF(H20="","",H20-TODAY())</f>
        <v/>
      </c>
      <c r="J20" s="24"/>
      <c r="K20" s="24"/>
      <c r="L20" s="24"/>
      <c r="M20" s="25" t="str">
        <f aca="false">IFERROR(INDEX('Universities &amp; Supervisors'!$H$4:$H$8,MATCH(B20,'Universities &amp; Supervisors'!$A$4:$A$8,0)),"")</f>
        <v/>
      </c>
      <c r="N20" s="29"/>
      <c r="O20" s="27"/>
      <c r="P20" s="26"/>
      <c r="Q20" s="24" t="str">
        <f aca="false">IF(AND(I20&lt;&gt;"",I20&gt;=0,I20&lt;=30),I20+ROW()/100000,"")</f>
        <v/>
      </c>
      <c r="R20" s="24" t="n">
        <f aca="false">IF(AND(OR(Explorer!$C$4="All",C20=Explorer!$C$4),OR(Explorer!$C$5="All",J20=Explorer!$C$5),OR(Explorer!$C$6="All",K20=Explorer!$C$6)),MAX($R$3:R19)+1,"")</f>
        <v>17</v>
      </c>
    </row>
    <row r="21" customFormat="false" ht="19.5" hidden="false" customHeight="true" outlineLevel="0" collapsed="false">
      <c r="A21" s="24" t="n">
        <v>18</v>
      </c>
      <c r="B21" s="24"/>
      <c r="C21" s="25" t="str">
        <f aca="false">IFERROR(INDEX('Universities &amp; Supervisors'!$B$4:$B$8,MATCH(B21,'Universities &amp; Supervisors'!$A$4:$A$8,0)),"")</f>
        <v/>
      </c>
      <c r="D21" s="26"/>
      <c r="E21" s="24"/>
      <c r="F21" s="24"/>
      <c r="G21" s="25" t="str">
        <f aca="false">IFERROR(INDEX('Universities &amp; Supervisors'!$E$4:$E$8,MATCH(B21,'Universities &amp; Supervisors'!$A$4:$A$8,0)),"")</f>
        <v/>
      </c>
      <c r="H21" s="27"/>
      <c r="I21" s="28" t="str">
        <f aca="true">IF(H21="","",H21-TODAY())</f>
        <v/>
      </c>
      <c r="J21" s="24"/>
      <c r="K21" s="24"/>
      <c r="L21" s="24"/>
      <c r="M21" s="25" t="str">
        <f aca="false">IFERROR(INDEX('Universities &amp; Supervisors'!$H$4:$H$8,MATCH(B21,'Universities &amp; Supervisors'!$A$4:$A$8,0)),"")</f>
        <v/>
      </c>
      <c r="N21" s="29"/>
      <c r="O21" s="27"/>
      <c r="P21" s="26"/>
      <c r="Q21" s="24" t="str">
        <f aca="false">IF(AND(I21&lt;&gt;"",I21&gt;=0,I21&lt;=30),I21+ROW()/100000,"")</f>
        <v/>
      </c>
      <c r="R21" s="24" t="n">
        <f aca="false">IF(AND(OR(Explorer!$C$4="All",C21=Explorer!$C$4),OR(Explorer!$C$5="All",J21=Explorer!$C$5),OR(Explorer!$C$6="All",K21=Explorer!$C$6)),MAX($R$3:R20)+1,"")</f>
        <v>18</v>
      </c>
    </row>
    <row r="22" customFormat="false" ht="19.5" hidden="false" customHeight="true" outlineLevel="0" collapsed="false">
      <c r="A22" s="24" t="n">
        <v>19</v>
      </c>
      <c r="B22" s="24"/>
      <c r="C22" s="25" t="str">
        <f aca="false">IFERROR(INDEX('Universities &amp; Supervisors'!$B$4:$B$8,MATCH(B22,'Universities &amp; Supervisors'!$A$4:$A$8,0)),"")</f>
        <v/>
      </c>
      <c r="D22" s="26"/>
      <c r="E22" s="24"/>
      <c r="F22" s="24"/>
      <c r="G22" s="25" t="str">
        <f aca="false">IFERROR(INDEX('Universities &amp; Supervisors'!$E$4:$E$8,MATCH(B22,'Universities &amp; Supervisors'!$A$4:$A$8,0)),"")</f>
        <v/>
      </c>
      <c r="H22" s="27"/>
      <c r="I22" s="28" t="str">
        <f aca="true">IF(H22="","",H22-TODAY())</f>
        <v/>
      </c>
      <c r="J22" s="24"/>
      <c r="K22" s="24"/>
      <c r="L22" s="24"/>
      <c r="M22" s="25" t="str">
        <f aca="false">IFERROR(INDEX('Universities &amp; Supervisors'!$H$4:$H$8,MATCH(B22,'Universities &amp; Supervisors'!$A$4:$A$8,0)),"")</f>
        <v/>
      </c>
      <c r="N22" s="29"/>
      <c r="O22" s="27"/>
      <c r="P22" s="26"/>
      <c r="Q22" s="24" t="str">
        <f aca="false">IF(AND(I22&lt;&gt;"",I22&gt;=0,I22&lt;=30),I22+ROW()/100000,"")</f>
        <v/>
      </c>
      <c r="R22" s="24" t="n">
        <f aca="false">IF(AND(OR(Explorer!$C$4="All",C22=Explorer!$C$4),OR(Explorer!$C$5="All",J22=Explorer!$C$5),OR(Explorer!$C$6="All",K22=Explorer!$C$6)),MAX($R$3:R21)+1,"")</f>
        <v>19</v>
      </c>
    </row>
    <row r="23" customFormat="false" ht="19.5" hidden="false" customHeight="true" outlineLevel="0" collapsed="false">
      <c r="A23" s="24" t="n">
        <v>20</v>
      </c>
      <c r="B23" s="24"/>
      <c r="C23" s="25" t="str">
        <f aca="false">IFERROR(INDEX('Universities &amp; Supervisors'!$B$4:$B$8,MATCH(B23,'Universities &amp; Supervisors'!$A$4:$A$8,0)),"")</f>
        <v/>
      </c>
      <c r="D23" s="26"/>
      <c r="E23" s="24"/>
      <c r="F23" s="24"/>
      <c r="G23" s="25" t="str">
        <f aca="false">IFERROR(INDEX('Universities &amp; Supervisors'!$E$4:$E$8,MATCH(B23,'Universities &amp; Supervisors'!$A$4:$A$8,0)),"")</f>
        <v/>
      </c>
      <c r="H23" s="27"/>
      <c r="I23" s="28" t="str">
        <f aca="true">IF(H23="","",H23-TODAY())</f>
        <v/>
      </c>
      <c r="J23" s="24"/>
      <c r="K23" s="24"/>
      <c r="L23" s="24"/>
      <c r="M23" s="25" t="str">
        <f aca="false">IFERROR(INDEX('Universities &amp; Supervisors'!$H$4:$H$8,MATCH(B23,'Universities &amp; Supervisors'!$A$4:$A$8,0)),"")</f>
        <v/>
      </c>
      <c r="N23" s="29"/>
      <c r="O23" s="27"/>
      <c r="P23" s="26"/>
      <c r="Q23" s="24" t="str">
        <f aca="false">IF(AND(I23&lt;&gt;"",I23&gt;=0,I23&lt;=30),I23+ROW()/100000,"")</f>
        <v/>
      </c>
      <c r="R23" s="24" t="n">
        <f aca="false">IF(AND(OR(Explorer!$C$4="All",C23=Explorer!$C$4),OR(Explorer!$C$5="All",J23=Explorer!$C$5),OR(Explorer!$C$6="All",K23=Explorer!$C$6)),MAX($R$3:R22)+1,"")</f>
        <v>20</v>
      </c>
    </row>
    <row r="24" customFormat="false" ht="19.5" hidden="false" customHeight="true" outlineLevel="0" collapsed="false">
      <c r="A24" s="24" t="n">
        <v>21</v>
      </c>
      <c r="B24" s="24"/>
      <c r="C24" s="25" t="str">
        <f aca="false">IFERROR(INDEX('Universities &amp; Supervisors'!$B$4:$B$8,MATCH(B24,'Universities &amp; Supervisors'!$A$4:$A$8,0)),"")</f>
        <v/>
      </c>
      <c r="D24" s="26"/>
      <c r="E24" s="24"/>
      <c r="F24" s="24"/>
      <c r="G24" s="25" t="str">
        <f aca="false">IFERROR(INDEX('Universities &amp; Supervisors'!$E$4:$E$8,MATCH(B24,'Universities &amp; Supervisors'!$A$4:$A$8,0)),"")</f>
        <v/>
      </c>
      <c r="H24" s="27"/>
      <c r="I24" s="28" t="str">
        <f aca="true">IF(H24="","",H24-TODAY())</f>
        <v/>
      </c>
      <c r="J24" s="24"/>
      <c r="K24" s="24"/>
      <c r="L24" s="24"/>
      <c r="M24" s="25" t="str">
        <f aca="false">IFERROR(INDEX('Universities &amp; Supervisors'!$H$4:$H$8,MATCH(B24,'Universities &amp; Supervisors'!$A$4:$A$8,0)),"")</f>
        <v/>
      </c>
      <c r="N24" s="29"/>
      <c r="O24" s="27"/>
      <c r="P24" s="26"/>
      <c r="Q24" s="24" t="str">
        <f aca="false">IF(AND(I24&lt;&gt;"",I24&gt;=0,I24&lt;=30),I24+ROW()/100000,"")</f>
        <v/>
      </c>
      <c r="R24" s="24" t="n">
        <f aca="false">IF(AND(OR(Explorer!$C$4="All",C24=Explorer!$C$4),OR(Explorer!$C$5="All",J24=Explorer!$C$5),OR(Explorer!$C$6="All",K24=Explorer!$C$6)),MAX($R$3:R23)+1,"")</f>
        <v>21</v>
      </c>
    </row>
    <row r="25" customFormat="false" ht="19.5" hidden="false" customHeight="true" outlineLevel="0" collapsed="false">
      <c r="A25" s="24" t="n">
        <v>22</v>
      </c>
      <c r="B25" s="24"/>
      <c r="C25" s="25" t="str">
        <f aca="false">IFERROR(INDEX('Universities &amp; Supervisors'!$B$4:$B$8,MATCH(B25,'Universities &amp; Supervisors'!$A$4:$A$8,0)),"")</f>
        <v/>
      </c>
      <c r="D25" s="26"/>
      <c r="E25" s="24"/>
      <c r="F25" s="24"/>
      <c r="G25" s="25" t="str">
        <f aca="false">IFERROR(INDEX('Universities &amp; Supervisors'!$E$4:$E$8,MATCH(B25,'Universities &amp; Supervisors'!$A$4:$A$8,0)),"")</f>
        <v/>
      </c>
      <c r="H25" s="27"/>
      <c r="I25" s="28" t="str">
        <f aca="true">IF(H25="","",H25-TODAY())</f>
        <v/>
      </c>
      <c r="J25" s="24"/>
      <c r="K25" s="24"/>
      <c r="L25" s="24"/>
      <c r="M25" s="25" t="str">
        <f aca="false">IFERROR(INDEX('Universities &amp; Supervisors'!$H$4:$H$8,MATCH(B25,'Universities &amp; Supervisors'!$A$4:$A$8,0)),"")</f>
        <v/>
      </c>
      <c r="N25" s="29"/>
      <c r="O25" s="27"/>
      <c r="P25" s="26"/>
      <c r="Q25" s="24" t="str">
        <f aca="false">IF(AND(I25&lt;&gt;"",I25&gt;=0,I25&lt;=30),I25+ROW()/100000,"")</f>
        <v/>
      </c>
      <c r="R25" s="24" t="n">
        <f aca="false">IF(AND(OR(Explorer!$C$4="All",C25=Explorer!$C$4),OR(Explorer!$C$5="All",J25=Explorer!$C$5),OR(Explorer!$C$6="All",K25=Explorer!$C$6)),MAX($R$3:R24)+1,"")</f>
        <v>22</v>
      </c>
    </row>
    <row r="26" customFormat="false" ht="19.5" hidden="false" customHeight="true" outlineLevel="0" collapsed="false">
      <c r="A26" s="24" t="n">
        <v>23</v>
      </c>
      <c r="B26" s="24"/>
      <c r="C26" s="25" t="str">
        <f aca="false">IFERROR(INDEX('Universities &amp; Supervisors'!$B$4:$B$8,MATCH(B26,'Universities &amp; Supervisors'!$A$4:$A$8,0)),"")</f>
        <v/>
      </c>
      <c r="D26" s="26"/>
      <c r="E26" s="24"/>
      <c r="F26" s="24"/>
      <c r="G26" s="25" t="str">
        <f aca="false">IFERROR(INDEX('Universities &amp; Supervisors'!$E$4:$E$8,MATCH(B26,'Universities &amp; Supervisors'!$A$4:$A$8,0)),"")</f>
        <v/>
      </c>
      <c r="H26" s="27"/>
      <c r="I26" s="28" t="str">
        <f aca="true">IF(H26="","",H26-TODAY())</f>
        <v/>
      </c>
      <c r="J26" s="24"/>
      <c r="K26" s="24"/>
      <c r="L26" s="24"/>
      <c r="M26" s="25" t="str">
        <f aca="false">IFERROR(INDEX('Universities &amp; Supervisors'!$H$4:$H$8,MATCH(B26,'Universities &amp; Supervisors'!$A$4:$A$8,0)),"")</f>
        <v/>
      </c>
      <c r="N26" s="29"/>
      <c r="O26" s="27"/>
      <c r="P26" s="26"/>
      <c r="Q26" s="24" t="str">
        <f aca="false">IF(AND(I26&lt;&gt;"",I26&gt;=0,I26&lt;=30),I26+ROW()/100000,"")</f>
        <v/>
      </c>
      <c r="R26" s="24" t="n">
        <f aca="false">IF(AND(OR(Explorer!$C$4="All",C26=Explorer!$C$4),OR(Explorer!$C$5="All",J26=Explorer!$C$5),OR(Explorer!$C$6="All",K26=Explorer!$C$6)),MAX($R$3:R25)+1,"")</f>
        <v>23</v>
      </c>
    </row>
    <row r="27" customFormat="false" ht="19.5" hidden="false" customHeight="true" outlineLevel="0" collapsed="false">
      <c r="A27" s="24" t="n">
        <v>24</v>
      </c>
      <c r="B27" s="24"/>
      <c r="C27" s="25" t="str">
        <f aca="false">IFERROR(INDEX('Universities &amp; Supervisors'!$B$4:$B$8,MATCH(B27,'Universities &amp; Supervisors'!$A$4:$A$8,0)),"")</f>
        <v/>
      </c>
      <c r="D27" s="26"/>
      <c r="E27" s="24"/>
      <c r="F27" s="24"/>
      <c r="G27" s="25" t="str">
        <f aca="false">IFERROR(INDEX('Universities &amp; Supervisors'!$E$4:$E$8,MATCH(B27,'Universities &amp; Supervisors'!$A$4:$A$8,0)),"")</f>
        <v/>
      </c>
      <c r="H27" s="27"/>
      <c r="I27" s="28" t="str">
        <f aca="true">IF(H27="","",H27-TODAY())</f>
        <v/>
      </c>
      <c r="J27" s="24"/>
      <c r="K27" s="24"/>
      <c r="L27" s="24"/>
      <c r="M27" s="25" t="str">
        <f aca="false">IFERROR(INDEX('Universities &amp; Supervisors'!$H$4:$H$8,MATCH(B27,'Universities &amp; Supervisors'!$A$4:$A$8,0)),"")</f>
        <v/>
      </c>
      <c r="N27" s="29"/>
      <c r="O27" s="27"/>
      <c r="P27" s="26"/>
      <c r="Q27" s="24" t="str">
        <f aca="false">IF(AND(I27&lt;&gt;"",I27&gt;=0,I27&lt;=30),I27+ROW()/100000,"")</f>
        <v/>
      </c>
      <c r="R27" s="24" t="n">
        <f aca="false">IF(AND(OR(Explorer!$C$4="All",C27=Explorer!$C$4),OR(Explorer!$C$5="All",J27=Explorer!$C$5),OR(Explorer!$C$6="All",K27=Explorer!$C$6)),MAX($R$3:R26)+1,"")</f>
        <v>24</v>
      </c>
    </row>
    <row r="28" customFormat="false" ht="19.5" hidden="false" customHeight="true" outlineLevel="0" collapsed="false">
      <c r="A28" s="24" t="n">
        <v>25</v>
      </c>
      <c r="B28" s="24"/>
      <c r="C28" s="25" t="str">
        <f aca="false">IFERROR(INDEX('Universities &amp; Supervisors'!$B$4:$B$8,MATCH(B28,'Universities &amp; Supervisors'!$A$4:$A$8,0)),"")</f>
        <v/>
      </c>
      <c r="D28" s="26"/>
      <c r="E28" s="24"/>
      <c r="F28" s="24"/>
      <c r="G28" s="25" t="str">
        <f aca="false">IFERROR(INDEX('Universities &amp; Supervisors'!$E$4:$E$8,MATCH(B28,'Universities &amp; Supervisors'!$A$4:$A$8,0)),"")</f>
        <v/>
      </c>
      <c r="H28" s="27"/>
      <c r="I28" s="28" t="str">
        <f aca="true">IF(H28="","",H28-TODAY())</f>
        <v/>
      </c>
      <c r="J28" s="24"/>
      <c r="K28" s="24"/>
      <c r="L28" s="24"/>
      <c r="M28" s="25" t="str">
        <f aca="false">IFERROR(INDEX('Universities &amp; Supervisors'!$H$4:$H$8,MATCH(B28,'Universities &amp; Supervisors'!$A$4:$A$8,0)),"")</f>
        <v/>
      </c>
      <c r="N28" s="29"/>
      <c r="O28" s="27"/>
      <c r="P28" s="26"/>
      <c r="Q28" s="24" t="str">
        <f aca="false">IF(AND(I28&lt;&gt;"",I28&gt;=0,I28&lt;=30),I28+ROW()/100000,"")</f>
        <v/>
      </c>
      <c r="R28" s="24" t="n">
        <f aca="false">IF(AND(OR(Explorer!$C$4="All",C28=Explorer!$C$4),OR(Explorer!$C$5="All",J28=Explorer!$C$5),OR(Explorer!$C$6="All",K28=Explorer!$C$6)),MAX($R$3:R27)+1,"")</f>
        <v>25</v>
      </c>
    </row>
    <row r="29" customFormat="false" ht="19.5" hidden="false" customHeight="true" outlineLevel="0" collapsed="false">
      <c r="A29" s="24" t="n">
        <v>26</v>
      </c>
      <c r="B29" s="24"/>
      <c r="C29" s="25" t="str">
        <f aca="false">IFERROR(INDEX('Universities &amp; Supervisors'!$B$4:$B$8,MATCH(B29,'Universities &amp; Supervisors'!$A$4:$A$8,0)),"")</f>
        <v/>
      </c>
      <c r="D29" s="26"/>
      <c r="E29" s="24"/>
      <c r="F29" s="24"/>
      <c r="G29" s="25" t="str">
        <f aca="false">IFERROR(INDEX('Universities &amp; Supervisors'!$E$4:$E$8,MATCH(B29,'Universities &amp; Supervisors'!$A$4:$A$8,0)),"")</f>
        <v/>
      </c>
      <c r="H29" s="27"/>
      <c r="I29" s="28" t="str">
        <f aca="true">IF(H29="","",H29-TODAY())</f>
        <v/>
      </c>
      <c r="J29" s="24"/>
      <c r="K29" s="24"/>
      <c r="L29" s="24"/>
      <c r="M29" s="25" t="str">
        <f aca="false">IFERROR(INDEX('Universities &amp; Supervisors'!$H$4:$H$8,MATCH(B29,'Universities &amp; Supervisors'!$A$4:$A$8,0)),"")</f>
        <v/>
      </c>
      <c r="N29" s="29"/>
      <c r="O29" s="27"/>
      <c r="P29" s="26"/>
      <c r="Q29" s="24" t="str">
        <f aca="false">IF(AND(I29&lt;&gt;"",I29&gt;=0,I29&lt;=30),I29+ROW()/100000,"")</f>
        <v/>
      </c>
      <c r="R29" s="24" t="n">
        <f aca="false">IF(AND(OR(Explorer!$C$4="All",C29=Explorer!$C$4),OR(Explorer!$C$5="All",J29=Explorer!$C$5),OR(Explorer!$C$6="All",K29=Explorer!$C$6)),MAX($R$3:R28)+1,"")</f>
        <v>26</v>
      </c>
    </row>
    <row r="30" customFormat="false" ht="19.5" hidden="false" customHeight="true" outlineLevel="0" collapsed="false">
      <c r="A30" s="24" t="n">
        <v>27</v>
      </c>
      <c r="B30" s="24"/>
      <c r="C30" s="25" t="str">
        <f aca="false">IFERROR(INDEX('Universities &amp; Supervisors'!$B$4:$B$8,MATCH(B30,'Universities &amp; Supervisors'!$A$4:$A$8,0)),"")</f>
        <v/>
      </c>
      <c r="D30" s="26"/>
      <c r="E30" s="24"/>
      <c r="F30" s="24"/>
      <c r="G30" s="25" t="str">
        <f aca="false">IFERROR(INDEX('Universities &amp; Supervisors'!$E$4:$E$8,MATCH(B30,'Universities &amp; Supervisors'!$A$4:$A$8,0)),"")</f>
        <v/>
      </c>
      <c r="H30" s="27"/>
      <c r="I30" s="28" t="str">
        <f aca="true">IF(H30="","",H30-TODAY())</f>
        <v/>
      </c>
      <c r="J30" s="24"/>
      <c r="K30" s="24"/>
      <c r="L30" s="24"/>
      <c r="M30" s="25" t="str">
        <f aca="false">IFERROR(INDEX('Universities &amp; Supervisors'!$H$4:$H$8,MATCH(B30,'Universities &amp; Supervisors'!$A$4:$A$8,0)),"")</f>
        <v/>
      </c>
      <c r="N30" s="29"/>
      <c r="O30" s="27"/>
      <c r="P30" s="26"/>
      <c r="Q30" s="24" t="str">
        <f aca="false">IF(AND(I30&lt;&gt;"",I30&gt;=0,I30&lt;=30),I30+ROW()/100000,"")</f>
        <v/>
      </c>
      <c r="R30" s="24" t="n">
        <f aca="false">IF(AND(OR(Explorer!$C$4="All",C30=Explorer!$C$4),OR(Explorer!$C$5="All",J30=Explorer!$C$5),OR(Explorer!$C$6="All",K30=Explorer!$C$6)),MAX($R$3:R29)+1,"")</f>
        <v>27</v>
      </c>
    </row>
    <row r="31" customFormat="false" ht="19.5" hidden="false" customHeight="true" outlineLevel="0" collapsed="false">
      <c r="A31" s="24" t="n">
        <v>28</v>
      </c>
      <c r="B31" s="24"/>
      <c r="C31" s="25" t="str">
        <f aca="false">IFERROR(INDEX('Universities &amp; Supervisors'!$B$4:$B$8,MATCH(B31,'Universities &amp; Supervisors'!$A$4:$A$8,0)),"")</f>
        <v/>
      </c>
      <c r="D31" s="26"/>
      <c r="E31" s="24"/>
      <c r="F31" s="24"/>
      <c r="G31" s="25" t="str">
        <f aca="false">IFERROR(INDEX('Universities &amp; Supervisors'!$E$4:$E$8,MATCH(B31,'Universities &amp; Supervisors'!$A$4:$A$8,0)),"")</f>
        <v/>
      </c>
      <c r="H31" s="27"/>
      <c r="I31" s="28" t="str">
        <f aca="true">IF(H31="","",H31-TODAY())</f>
        <v/>
      </c>
      <c r="J31" s="24"/>
      <c r="K31" s="24"/>
      <c r="L31" s="24"/>
      <c r="M31" s="25" t="str">
        <f aca="false">IFERROR(INDEX('Universities &amp; Supervisors'!$H$4:$H$8,MATCH(B31,'Universities &amp; Supervisors'!$A$4:$A$8,0)),"")</f>
        <v/>
      </c>
      <c r="N31" s="29"/>
      <c r="O31" s="27"/>
      <c r="P31" s="26"/>
      <c r="Q31" s="24" t="str">
        <f aca="false">IF(AND(I31&lt;&gt;"",I31&gt;=0,I31&lt;=30),I31+ROW()/100000,"")</f>
        <v/>
      </c>
      <c r="R31" s="24" t="n">
        <f aca="false">IF(AND(OR(Explorer!$C$4="All",C31=Explorer!$C$4),OR(Explorer!$C$5="All",J31=Explorer!$C$5),OR(Explorer!$C$6="All",K31=Explorer!$C$6)),MAX($R$3:R30)+1,"")</f>
        <v>28</v>
      </c>
    </row>
    <row r="32" customFormat="false" ht="19.5" hidden="false" customHeight="true" outlineLevel="0" collapsed="false">
      <c r="A32" s="24" t="n">
        <v>29</v>
      </c>
      <c r="B32" s="24"/>
      <c r="C32" s="25" t="str">
        <f aca="false">IFERROR(INDEX('Universities &amp; Supervisors'!$B$4:$B$8,MATCH(B32,'Universities &amp; Supervisors'!$A$4:$A$8,0)),"")</f>
        <v/>
      </c>
      <c r="D32" s="26"/>
      <c r="E32" s="24"/>
      <c r="F32" s="24"/>
      <c r="G32" s="25" t="str">
        <f aca="false">IFERROR(INDEX('Universities &amp; Supervisors'!$E$4:$E$8,MATCH(B32,'Universities &amp; Supervisors'!$A$4:$A$8,0)),"")</f>
        <v/>
      </c>
      <c r="H32" s="27"/>
      <c r="I32" s="28" t="str">
        <f aca="true">IF(H32="","",H32-TODAY())</f>
        <v/>
      </c>
      <c r="J32" s="24"/>
      <c r="K32" s="24"/>
      <c r="L32" s="24"/>
      <c r="M32" s="25" t="str">
        <f aca="false">IFERROR(INDEX('Universities &amp; Supervisors'!$H$4:$H$8,MATCH(B32,'Universities &amp; Supervisors'!$A$4:$A$8,0)),"")</f>
        <v/>
      </c>
      <c r="N32" s="29"/>
      <c r="O32" s="27"/>
      <c r="P32" s="26"/>
      <c r="Q32" s="24" t="str">
        <f aca="false">IF(AND(I32&lt;&gt;"",I32&gt;=0,I32&lt;=30),I32+ROW()/100000,"")</f>
        <v/>
      </c>
      <c r="R32" s="24" t="n">
        <f aca="false">IF(AND(OR(Explorer!$C$4="All",C32=Explorer!$C$4),OR(Explorer!$C$5="All",J32=Explorer!$C$5),OR(Explorer!$C$6="All",K32=Explorer!$C$6)),MAX($R$3:R31)+1,"")</f>
        <v>29</v>
      </c>
    </row>
    <row r="33" customFormat="false" ht="19.5" hidden="false" customHeight="true" outlineLevel="0" collapsed="false">
      <c r="A33" s="24" t="n">
        <v>30</v>
      </c>
      <c r="B33" s="24"/>
      <c r="C33" s="25" t="str">
        <f aca="false">IFERROR(INDEX('Universities &amp; Supervisors'!$B$4:$B$8,MATCH(B33,'Universities &amp; Supervisors'!$A$4:$A$8,0)),"")</f>
        <v/>
      </c>
      <c r="D33" s="26"/>
      <c r="E33" s="24"/>
      <c r="F33" s="24"/>
      <c r="G33" s="25" t="str">
        <f aca="false">IFERROR(INDEX('Universities &amp; Supervisors'!$E$4:$E$8,MATCH(B33,'Universities &amp; Supervisors'!$A$4:$A$8,0)),"")</f>
        <v/>
      </c>
      <c r="H33" s="27"/>
      <c r="I33" s="28" t="str">
        <f aca="true">IF(H33="","",H33-TODAY())</f>
        <v/>
      </c>
      <c r="J33" s="24"/>
      <c r="K33" s="24"/>
      <c r="L33" s="24"/>
      <c r="M33" s="25" t="str">
        <f aca="false">IFERROR(INDEX('Universities &amp; Supervisors'!$H$4:$H$8,MATCH(B33,'Universities &amp; Supervisors'!$A$4:$A$8,0)),"")</f>
        <v/>
      </c>
      <c r="N33" s="29"/>
      <c r="O33" s="27"/>
      <c r="P33" s="26"/>
      <c r="Q33" s="24" t="str">
        <f aca="false">IF(AND(I33&lt;&gt;"",I33&gt;=0,I33&lt;=30),I33+ROW()/100000,"")</f>
        <v/>
      </c>
      <c r="R33" s="24" t="n">
        <f aca="false">IF(AND(OR(Explorer!$C$4="All",C33=Explorer!$C$4),OR(Explorer!$C$5="All",J33=Explorer!$C$5),OR(Explorer!$C$6="All",K33=Explorer!$C$6)),MAX($R$3:R32)+1,"")</f>
        <v>30</v>
      </c>
    </row>
  </sheetData>
  <autoFilter ref="A3:P33"/>
  <mergeCells count="2">
    <mergeCell ref="A1:P1"/>
    <mergeCell ref="A2:P2"/>
  </mergeCells>
  <conditionalFormatting sqref="I4:I63">
    <cfRule type="cellIs" priority="2" operator="lessThan" aboveAverage="0" equalAverage="0" bottom="0" percent="0" rank="0" text="" dxfId="9">
      <formula>0</formula>
    </cfRule>
    <cfRule type="cellIs" priority="3" operator="between" aboveAverage="0" equalAverage="0" bottom="0" percent="0" rank="0" text="" dxfId="10">
      <formula>0</formula>
      <formula>30</formula>
    </cfRule>
    <cfRule type="cellIs" priority="4" operator="between" aboveAverage="0" equalAverage="0" bottom="0" percent="0" rank="0" text="" dxfId="11">
      <formula>31</formula>
      <formula>60</formula>
    </cfRule>
    <cfRule type="cellIs" priority="5" operator="greaterThan" aboveAverage="0" equalAverage="0" bottom="0" percent="0" rank="0" text="" dxfId="12">
      <formula>60</formula>
    </cfRule>
  </conditionalFormatting>
  <conditionalFormatting sqref="J4:J63">
    <cfRule type="expression" priority="6" aboveAverage="0" equalAverage="0" bottom="0" percent="0" rank="0" text="" dxfId="13">
      <formula>$J4="Accepted"</formula>
    </cfRule>
    <cfRule type="expression" priority="7" aboveAverage="0" equalAverage="0" bottom="0" percent="0" rank="0" text="" dxfId="14">
      <formula>$J4="Rejected"</formula>
    </cfRule>
    <cfRule type="expression" priority="8" aboveAverage="0" equalAverage="0" bottom="0" percent="0" rank="0" text="" dxfId="15">
      <formula>$J4="Interview"</formula>
    </cfRule>
    <cfRule type="expression" priority="9" aboveAverage="0" equalAverage="0" bottom="0" percent="0" rank="0" text="" dxfId="16">
      <formula>$J4="Submitted"</formula>
    </cfRule>
    <cfRule type="expression" priority="10" aboveAverage="0" equalAverage="0" bottom="0" percent="0" rank="0" text="" dxfId="17">
      <formula>$J4="Not Started"</formula>
    </cfRule>
  </conditionalFormatting>
  <conditionalFormatting sqref="K4:K63">
    <cfRule type="expression" priority="11" aboveAverage="0" equalAverage="0" bottom="0" percent="0" rank="0" text="" dxfId="0">
      <formula>$K4="High"</formula>
    </cfRule>
  </conditionalFormatting>
  <conditionalFormatting sqref="N4:N63">
    <cfRule type="cellIs" priority="12" operator="equal" aboveAverage="0" equalAverage="0" bottom="0" percent="0" rank="0" text="" dxfId="18">
      <formula>1</formula>
    </cfRule>
  </conditionalFormatting>
  <dataValidations count="6">
    <dataValidation allowBlank="true" errorStyle="stop" operator="between" showDropDown="false" showErrorMessage="false" showInputMessage="false" sqref="B4:B63" type="list">
      <formula1>'Universities &amp; Supervisors'!$A$4:$A$8</formula1>
      <formula2>0</formula2>
    </dataValidation>
    <dataValidation allowBlank="true" errorStyle="stop" operator="between" showDropDown="false" showErrorMessage="false" showInputMessage="false" sqref="E4:E63" type="list">
      <formula1>Lists!$D$2:$D$14</formula1>
      <formula2>0</formula2>
    </dataValidation>
    <dataValidation allowBlank="true" errorStyle="stop" operator="between" showDropDown="false" showErrorMessage="false" showInputMessage="false" sqref="F4:F63" type="list">
      <formula1>Lists!$C$2:$C$4</formula1>
      <formula2>0</formula2>
    </dataValidation>
    <dataValidation allowBlank="true" errorStyle="stop" operator="between" showDropDown="false" showErrorMessage="false" showInputMessage="false" sqref="J4:J63" type="list">
      <formula1>Lists!$A$2:$A$7</formula1>
      <formula2>0</formula2>
    </dataValidation>
    <dataValidation allowBlank="true" errorStyle="stop" operator="between" showDropDown="false" showErrorMessage="false" showInputMessage="false" sqref="K4:K63" type="list">
      <formula1>Lists!$B$2:$B$4</formula1>
      <formula2>0</formula2>
    </dataValidation>
    <dataValidation allowBlank="false" errorStyle="stop" operator="between" showDropDown="false" showErrorMessage="false" showInputMessage="false" sqref="L4:L63" type="whole">
      <formula1>1</formula1>
      <formula2>10</formula2>
    </dataValidation>
  </dataValidations>
  <hyperlinks>
    <hyperlink ref="A1" r:id="rId1" display="ApplyAbroadLab.com — Application Tracker Pr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8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19" t="s">
        <v>62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30" hidden="false" customHeight="true" outlineLevel="0" collapsed="false">
      <c r="A3" s="23" t="s">
        <v>25</v>
      </c>
      <c r="B3" s="23" t="s">
        <v>20</v>
      </c>
      <c r="C3" s="23" t="s">
        <v>63</v>
      </c>
      <c r="D3" s="23" t="s">
        <v>64</v>
      </c>
      <c r="E3" s="23" t="s">
        <v>46</v>
      </c>
      <c r="F3" s="23" t="s">
        <v>65</v>
      </c>
      <c r="G3" s="23" t="s">
        <v>66</v>
      </c>
      <c r="H3" s="23" t="s">
        <v>50</v>
      </c>
      <c r="I3" s="23" t="s">
        <v>67</v>
      </c>
      <c r="J3" s="23" t="s">
        <v>68</v>
      </c>
    </row>
    <row r="4" customFormat="false" ht="19.5" hidden="false" customHeight="true" outlineLevel="0" collapsed="false">
      <c r="A4" s="24" t="s">
        <v>56</v>
      </c>
      <c r="B4" s="24" t="s">
        <v>21</v>
      </c>
      <c r="C4" s="24" t="s">
        <v>69</v>
      </c>
      <c r="D4" s="26" t="s">
        <v>58</v>
      </c>
      <c r="E4" s="24" t="s">
        <v>70</v>
      </c>
      <c r="F4" s="24" t="n">
        <v>8</v>
      </c>
      <c r="G4" s="24" t="n">
        <v>7</v>
      </c>
      <c r="H4" s="24" t="s">
        <v>71</v>
      </c>
      <c r="I4" s="24" t="s">
        <v>72</v>
      </c>
      <c r="J4" s="30" t="s">
        <v>73</v>
      </c>
    </row>
    <row r="5" customFormat="false" ht="19.5" hidden="false" customHeight="true" outlineLevel="0" collapsed="false">
      <c r="A5" s="24"/>
      <c r="B5" s="24"/>
      <c r="C5" s="24"/>
      <c r="D5" s="26"/>
      <c r="E5" s="24"/>
      <c r="F5" s="24"/>
      <c r="G5" s="24"/>
      <c r="H5" s="24"/>
      <c r="I5" s="24" t="s">
        <v>72</v>
      </c>
      <c r="J5" s="30"/>
    </row>
    <row r="6" customFormat="false" ht="19.5" hidden="false" customHeight="true" outlineLevel="0" collapsed="false">
      <c r="A6" s="24"/>
      <c r="B6" s="24"/>
      <c r="C6" s="24"/>
      <c r="D6" s="26"/>
      <c r="E6" s="24"/>
      <c r="F6" s="24"/>
      <c r="G6" s="24"/>
      <c r="H6" s="24"/>
      <c r="I6" s="24" t="s">
        <v>72</v>
      </c>
      <c r="J6" s="30"/>
    </row>
    <row r="7" customFormat="false" ht="19.5" hidden="false" customHeight="true" outlineLevel="0" collapsed="false">
      <c r="A7" s="24"/>
      <c r="B7" s="24"/>
      <c r="C7" s="24"/>
      <c r="D7" s="26"/>
      <c r="E7" s="24"/>
      <c r="F7" s="24"/>
      <c r="G7" s="24"/>
      <c r="H7" s="24"/>
      <c r="I7" s="24" t="s">
        <v>72</v>
      </c>
      <c r="J7" s="30"/>
    </row>
    <row r="8" customFormat="false" ht="19.5" hidden="false" customHeight="true" outlineLevel="0" collapsed="false">
      <c r="A8" s="24"/>
      <c r="B8" s="24"/>
      <c r="C8" s="24"/>
      <c r="D8" s="26"/>
      <c r="E8" s="24"/>
      <c r="F8" s="24"/>
      <c r="G8" s="24"/>
      <c r="H8" s="24"/>
      <c r="I8" s="24" t="s">
        <v>72</v>
      </c>
      <c r="J8" s="30"/>
    </row>
  </sheetData>
  <mergeCells count="2">
    <mergeCell ref="A1:J1"/>
    <mergeCell ref="A2:J2"/>
  </mergeCells>
  <dataValidations count="1">
    <dataValidation allowBlank="true" errorStyle="stop" operator="between" showDropDown="false" showErrorMessage="false" showInputMessage="false" sqref="I4:I8" type="list">
      <formula1>Lists!$E$2:$E$5</formula1>
      <formula2>0</formula2>
    </dataValidation>
  </dataValidations>
  <hyperlinks>
    <hyperlink ref="A1" r:id="rId1" display="ApplyAbroadLab.com — Application Tracker Pro"/>
    <hyperlink ref="J4" r:id="rId2" display="https://www.tum.d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32"/>
    <col collapsed="false" customWidth="true" hidden="false" outlineLevel="0" max="5" min="5" style="0" width="13"/>
    <col collapsed="false" customWidth="true" hidden="false" outlineLevel="0" max="6" min="6" style="0" width="8"/>
    <col collapsed="false" customWidth="true" hidden="false" outlineLevel="0" max="7" min="7" style="0" width="13"/>
    <col collapsed="false" customWidth="true" hidden="false" outlineLevel="0" max="8" min="8" style="0" width="10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9" t="s">
        <v>74</v>
      </c>
      <c r="B2" s="19"/>
      <c r="C2" s="19"/>
      <c r="D2" s="19"/>
      <c r="E2" s="19"/>
      <c r="F2" s="19"/>
      <c r="G2" s="19"/>
      <c r="H2" s="19"/>
    </row>
    <row r="4" customFormat="false" ht="21.75" hidden="false" customHeight="true" outlineLevel="0" collapsed="false">
      <c r="B4" s="31" t="s">
        <v>20</v>
      </c>
      <c r="C4" s="32" t="s">
        <v>75</v>
      </c>
      <c r="E4" s="31" t="s">
        <v>76</v>
      </c>
      <c r="F4" s="33" t="n">
        <f aca="false">COUNT(Applications!R4:R33)</f>
        <v>30</v>
      </c>
      <c r="G4" s="33"/>
    </row>
    <row r="5" customFormat="false" ht="21.75" hidden="false" customHeight="true" outlineLevel="0" collapsed="false">
      <c r="B5" s="31" t="s">
        <v>9</v>
      </c>
      <c r="C5" s="32" t="s">
        <v>75</v>
      </c>
      <c r="E5" s="31" t="s">
        <v>77</v>
      </c>
      <c r="F5" s="33" t="n">
        <f aca="false">IFERROR(ROUND(SUMPRODUCT((Applications!R4:R33&lt;&gt;"")*Applications!L4:L33)/$F$4,1),0)</f>
        <v>0.3</v>
      </c>
      <c r="G5" s="33"/>
    </row>
    <row r="6" customFormat="false" ht="21.75" hidden="false" customHeight="true" outlineLevel="0" collapsed="false">
      <c r="B6" s="31" t="s">
        <v>48</v>
      </c>
      <c r="C6" s="32" t="s">
        <v>75</v>
      </c>
      <c r="E6" s="31" t="s">
        <v>78</v>
      </c>
      <c r="F6" s="34" t="n">
        <f aca="false">IFERROR(SUMPRODUCT((Applications!R4:R33&lt;&gt;"")*Applications!N4:N33)/$F$4,0)</f>
        <v>0.0166666666666667</v>
      </c>
      <c r="G6" s="34"/>
    </row>
    <row r="7" customFormat="false" ht="21.75" hidden="false" customHeight="true" outlineLevel="0" collapsed="false">
      <c r="E7" s="31" t="s">
        <v>79</v>
      </c>
      <c r="F7" s="33" t="n">
        <f aca="false">IFERROR(SUMPRODUCT(MIN(IF(Applications!R4:R33&lt;&gt;"",IF(Applications!I4:I33&gt;=0,Applications!I4:I33)))),"")</f>
        <v>14</v>
      </c>
      <c r="G7" s="33"/>
    </row>
    <row r="9" customFormat="false" ht="30" hidden="false" customHeight="true" outlineLevel="0" collapsed="false">
      <c r="A9" s="23" t="s">
        <v>24</v>
      </c>
      <c r="B9" s="23" t="s">
        <v>25</v>
      </c>
      <c r="C9" s="23" t="s">
        <v>20</v>
      </c>
      <c r="D9" s="23" t="s">
        <v>26</v>
      </c>
      <c r="E9" s="23" t="s">
        <v>27</v>
      </c>
      <c r="F9" s="23" t="s">
        <v>28</v>
      </c>
      <c r="G9" s="23" t="s">
        <v>9</v>
      </c>
      <c r="H9" s="23" t="s">
        <v>48</v>
      </c>
    </row>
    <row r="10" customFormat="false" ht="18" hidden="false" customHeight="true" outlineLevel="0" collapsed="false">
      <c r="A10" s="24" t="n">
        <v>1</v>
      </c>
      <c r="B10" s="24" t="str">
        <f aca="false">IFERROR(INDEX(Applications!$B$4:$B$33,MATCH($A10,Applications!$R$4:$R$33,0)),"")</f>
        <v>Example: Technical University of Munich</v>
      </c>
      <c r="C10" s="24" t="str">
        <f aca="false">IFERROR(INDEX(Applications!$C$4:$C$33,MATCH($A10,Applications!$R$4:$R$33,0)),"")</f>
        <v>Germany</v>
      </c>
      <c r="D10" s="26" t="str">
        <f aca="false">IFERROR(INDEX(Applications!$D$4:$D$33,MATCH($A10,Applications!$R$4:$R$33,0)),"")</f>
        <v>PhD in Computational Biology</v>
      </c>
      <c r="E10" s="27" t="n">
        <f aca="false">IFERROR(INDEX(Applications!$H$4:$H$33,MATCH($A10,Applications!$R$4:$R$33,0)),"")</f>
        <v>46300</v>
      </c>
      <c r="F10" s="35" t="n">
        <f aca="false">IFERROR(INDEX(Applications!$I$4:$I$33,MATCH($A10,Applications!$R$4:$R$33,0)),"")</f>
        <v>14</v>
      </c>
      <c r="G10" s="24" t="str">
        <f aca="false">IFERROR(INDEX(Applications!$J$4:$J$33,MATCH($A10,Applications!$R$4:$R$33,0)),"")</f>
        <v>In Progress</v>
      </c>
      <c r="H10" s="24" t="str">
        <f aca="false">IFERROR(INDEX(Applications!$K$4:$K$33,MATCH($A10,Applications!$R$4:$R$33,0)),"")</f>
        <v>High</v>
      </c>
    </row>
    <row r="11" customFormat="false" ht="18" hidden="false" customHeight="true" outlineLevel="0" collapsed="false">
      <c r="A11" s="24" t="n">
        <v>2</v>
      </c>
      <c r="B11" s="24" t="n">
        <f aca="false">IFERROR(INDEX(Applications!$B$4:$B$33,MATCH($A11,Applications!$R$4:$R$33,0)),"")</f>
        <v>0</v>
      </c>
      <c r="C11" s="24" t="str">
        <f aca="false">IFERROR(INDEX(Applications!$C$4:$C$33,MATCH($A11,Applications!$R$4:$R$33,0)),"")</f>
        <v/>
      </c>
      <c r="D11" s="26" t="n">
        <f aca="false">IFERROR(INDEX(Applications!$D$4:$D$33,MATCH($A11,Applications!$R$4:$R$33,0)),"")</f>
        <v>0</v>
      </c>
      <c r="E11" s="27" t="n">
        <f aca="false">IFERROR(INDEX(Applications!$H$4:$H$33,MATCH($A11,Applications!$R$4:$R$33,0)),"")</f>
        <v>0</v>
      </c>
      <c r="F11" s="35" t="str">
        <f aca="false">IFERROR(INDEX(Applications!$I$4:$I$33,MATCH($A11,Applications!$R$4:$R$33,0)),"")</f>
        <v/>
      </c>
      <c r="G11" s="24" t="n">
        <f aca="false">IFERROR(INDEX(Applications!$J$4:$J$33,MATCH($A11,Applications!$R$4:$R$33,0)),"")</f>
        <v>0</v>
      </c>
      <c r="H11" s="24" t="n">
        <f aca="false">IFERROR(INDEX(Applications!$K$4:$K$33,MATCH($A11,Applications!$R$4:$R$33,0)),"")</f>
        <v>0</v>
      </c>
    </row>
    <row r="12" customFormat="false" ht="18" hidden="false" customHeight="true" outlineLevel="0" collapsed="false">
      <c r="A12" s="24" t="n">
        <v>3</v>
      </c>
      <c r="B12" s="24" t="n">
        <f aca="false">IFERROR(INDEX(Applications!$B$4:$B$33,MATCH($A12,Applications!$R$4:$R$33,0)),"")</f>
        <v>0</v>
      </c>
      <c r="C12" s="24" t="str">
        <f aca="false">IFERROR(INDEX(Applications!$C$4:$C$33,MATCH($A12,Applications!$R$4:$R$33,0)),"")</f>
        <v/>
      </c>
      <c r="D12" s="26" t="n">
        <f aca="false">IFERROR(INDEX(Applications!$D$4:$D$33,MATCH($A12,Applications!$R$4:$R$33,0)),"")</f>
        <v>0</v>
      </c>
      <c r="E12" s="27" t="n">
        <f aca="false">IFERROR(INDEX(Applications!$H$4:$H$33,MATCH($A12,Applications!$R$4:$R$33,0)),"")</f>
        <v>0</v>
      </c>
      <c r="F12" s="35" t="str">
        <f aca="false">IFERROR(INDEX(Applications!$I$4:$I$33,MATCH($A12,Applications!$R$4:$R$33,0)),"")</f>
        <v/>
      </c>
      <c r="G12" s="24" t="n">
        <f aca="false">IFERROR(INDEX(Applications!$J$4:$J$33,MATCH($A12,Applications!$R$4:$R$33,0)),"")</f>
        <v>0</v>
      </c>
      <c r="H12" s="24" t="n">
        <f aca="false">IFERROR(INDEX(Applications!$K$4:$K$33,MATCH($A12,Applications!$R$4:$R$33,0)),"")</f>
        <v>0</v>
      </c>
    </row>
    <row r="13" customFormat="false" ht="18" hidden="false" customHeight="true" outlineLevel="0" collapsed="false">
      <c r="A13" s="24" t="n">
        <v>4</v>
      </c>
      <c r="B13" s="24" t="n">
        <f aca="false">IFERROR(INDEX(Applications!$B$4:$B$33,MATCH($A13,Applications!$R$4:$R$33,0)),"")</f>
        <v>0</v>
      </c>
      <c r="C13" s="24" t="str">
        <f aca="false">IFERROR(INDEX(Applications!$C$4:$C$33,MATCH($A13,Applications!$R$4:$R$33,0)),"")</f>
        <v/>
      </c>
      <c r="D13" s="26" t="n">
        <f aca="false">IFERROR(INDEX(Applications!$D$4:$D$33,MATCH($A13,Applications!$R$4:$R$33,0)),"")</f>
        <v>0</v>
      </c>
      <c r="E13" s="27" t="n">
        <f aca="false">IFERROR(INDEX(Applications!$H$4:$H$33,MATCH($A13,Applications!$R$4:$R$33,0)),"")</f>
        <v>0</v>
      </c>
      <c r="F13" s="35" t="str">
        <f aca="false">IFERROR(INDEX(Applications!$I$4:$I$33,MATCH($A13,Applications!$R$4:$R$33,0)),"")</f>
        <v/>
      </c>
      <c r="G13" s="24" t="n">
        <f aca="false">IFERROR(INDEX(Applications!$J$4:$J$33,MATCH($A13,Applications!$R$4:$R$33,0)),"")</f>
        <v>0</v>
      </c>
      <c r="H13" s="24" t="n">
        <f aca="false">IFERROR(INDEX(Applications!$K$4:$K$33,MATCH($A13,Applications!$R$4:$R$33,0)),"")</f>
        <v>0</v>
      </c>
    </row>
    <row r="14" customFormat="false" ht="18" hidden="false" customHeight="true" outlineLevel="0" collapsed="false">
      <c r="A14" s="24" t="n">
        <v>5</v>
      </c>
      <c r="B14" s="24" t="n">
        <f aca="false">IFERROR(INDEX(Applications!$B$4:$B$33,MATCH($A14,Applications!$R$4:$R$33,0)),"")</f>
        <v>0</v>
      </c>
      <c r="C14" s="24" t="str">
        <f aca="false">IFERROR(INDEX(Applications!$C$4:$C$33,MATCH($A14,Applications!$R$4:$R$33,0)),"")</f>
        <v/>
      </c>
      <c r="D14" s="26" t="n">
        <f aca="false">IFERROR(INDEX(Applications!$D$4:$D$33,MATCH($A14,Applications!$R$4:$R$33,0)),"")</f>
        <v>0</v>
      </c>
      <c r="E14" s="27" t="n">
        <f aca="false">IFERROR(INDEX(Applications!$H$4:$H$33,MATCH($A14,Applications!$R$4:$R$33,0)),"")</f>
        <v>0</v>
      </c>
      <c r="F14" s="35" t="str">
        <f aca="false">IFERROR(INDEX(Applications!$I$4:$I$33,MATCH($A14,Applications!$R$4:$R$33,0)),"")</f>
        <v/>
      </c>
      <c r="G14" s="24" t="n">
        <f aca="false">IFERROR(INDEX(Applications!$J$4:$J$33,MATCH($A14,Applications!$R$4:$R$33,0)),"")</f>
        <v>0</v>
      </c>
      <c r="H14" s="24" t="n">
        <f aca="false">IFERROR(INDEX(Applications!$K$4:$K$33,MATCH($A14,Applications!$R$4:$R$33,0)),"")</f>
        <v>0</v>
      </c>
    </row>
    <row r="15" customFormat="false" ht="18" hidden="false" customHeight="true" outlineLevel="0" collapsed="false">
      <c r="A15" s="24" t="n">
        <v>6</v>
      </c>
      <c r="B15" s="24" t="n">
        <f aca="false">IFERROR(INDEX(Applications!$B$4:$B$33,MATCH($A15,Applications!$R$4:$R$33,0)),"")</f>
        <v>0</v>
      </c>
      <c r="C15" s="24" t="str">
        <f aca="false">IFERROR(INDEX(Applications!$C$4:$C$33,MATCH($A15,Applications!$R$4:$R$33,0)),"")</f>
        <v/>
      </c>
      <c r="D15" s="26" t="n">
        <f aca="false">IFERROR(INDEX(Applications!$D$4:$D$33,MATCH($A15,Applications!$R$4:$R$33,0)),"")</f>
        <v>0</v>
      </c>
      <c r="E15" s="27" t="n">
        <f aca="false">IFERROR(INDEX(Applications!$H$4:$H$33,MATCH($A15,Applications!$R$4:$R$33,0)),"")</f>
        <v>0</v>
      </c>
      <c r="F15" s="35" t="str">
        <f aca="false">IFERROR(INDEX(Applications!$I$4:$I$33,MATCH($A15,Applications!$R$4:$R$33,0)),"")</f>
        <v/>
      </c>
      <c r="G15" s="24" t="n">
        <f aca="false">IFERROR(INDEX(Applications!$J$4:$J$33,MATCH($A15,Applications!$R$4:$R$33,0)),"")</f>
        <v>0</v>
      </c>
      <c r="H15" s="24" t="n">
        <f aca="false">IFERROR(INDEX(Applications!$K$4:$K$33,MATCH($A15,Applications!$R$4:$R$33,0)),"")</f>
        <v>0</v>
      </c>
    </row>
    <row r="16" customFormat="false" ht="18" hidden="false" customHeight="true" outlineLevel="0" collapsed="false">
      <c r="A16" s="24" t="n">
        <v>7</v>
      </c>
      <c r="B16" s="24" t="n">
        <f aca="false">IFERROR(INDEX(Applications!$B$4:$B$33,MATCH($A16,Applications!$R$4:$R$33,0)),"")</f>
        <v>0</v>
      </c>
      <c r="C16" s="24" t="str">
        <f aca="false">IFERROR(INDEX(Applications!$C$4:$C$33,MATCH($A16,Applications!$R$4:$R$33,0)),"")</f>
        <v/>
      </c>
      <c r="D16" s="26" t="n">
        <f aca="false">IFERROR(INDEX(Applications!$D$4:$D$33,MATCH($A16,Applications!$R$4:$R$33,0)),"")</f>
        <v>0</v>
      </c>
      <c r="E16" s="27" t="n">
        <f aca="false">IFERROR(INDEX(Applications!$H$4:$H$33,MATCH($A16,Applications!$R$4:$R$33,0)),"")</f>
        <v>0</v>
      </c>
      <c r="F16" s="35" t="str">
        <f aca="false">IFERROR(INDEX(Applications!$I$4:$I$33,MATCH($A16,Applications!$R$4:$R$33,0)),"")</f>
        <v/>
      </c>
      <c r="G16" s="24" t="n">
        <f aca="false">IFERROR(INDEX(Applications!$J$4:$J$33,MATCH($A16,Applications!$R$4:$R$33,0)),"")</f>
        <v>0</v>
      </c>
      <c r="H16" s="24" t="n">
        <f aca="false">IFERROR(INDEX(Applications!$K$4:$K$33,MATCH($A16,Applications!$R$4:$R$33,0)),"")</f>
        <v>0</v>
      </c>
    </row>
    <row r="17" customFormat="false" ht="18" hidden="false" customHeight="true" outlineLevel="0" collapsed="false">
      <c r="A17" s="24" t="n">
        <v>8</v>
      </c>
      <c r="B17" s="24" t="n">
        <f aca="false">IFERROR(INDEX(Applications!$B$4:$B$33,MATCH($A17,Applications!$R$4:$R$33,0)),"")</f>
        <v>0</v>
      </c>
      <c r="C17" s="24" t="str">
        <f aca="false">IFERROR(INDEX(Applications!$C$4:$C$33,MATCH($A17,Applications!$R$4:$R$33,0)),"")</f>
        <v/>
      </c>
      <c r="D17" s="26" t="n">
        <f aca="false">IFERROR(INDEX(Applications!$D$4:$D$33,MATCH($A17,Applications!$R$4:$R$33,0)),"")</f>
        <v>0</v>
      </c>
      <c r="E17" s="27" t="n">
        <f aca="false">IFERROR(INDEX(Applications!$H$4:$H$33,MATCH($A17,Applications!$R$4:$R$33,0)),"")</f>
        <v>0</v>
      </c>
      <c r="F17" s="35" t="str">
        <f aca="false">IFERROR(INDEX(Applications!$I$4:$I$33,MATCH($A17,Applications!$R$4:$R$33,0)),"")</f>
        <v/>
      </c>
      <c r="G17" s="24" t="n">
        <f aca="false">IFERROR(INDEX(Applications!$J$4:$J$33,MATCH($A17,Applications!$R$4:$R$33,0)),"")</f>
        <v>0</v>
      </c>
      <c r="H17" s="24" t="n">
        <f aca="false">IFERROR(INDEX(Applications!$K$4:$K$33,MATCH($A17,Applications!$R$4:$R$33,0)),"")</f>
        <v>0</v>
      </c>
    </row>
    <row r="18" customFormat="false" ht="18" hidden="false" customHeight="true" outlineLevel="0" collapsed="false">
      <c r="A18" s="24" t="n">
        <v>9</v>
      </c>
      <c r="B18" s="24" t="n">
        <f aca="false">IFERROR(INDEX(Applications!$B$4:$B$33,MATCH($A18,Applications!$R$4:$R$33,0)),"")</f>
        <v>0</v>
      </c>
      <c r="C18" s="24" t="str">
        <f aca="false">IFERROR(INDEX(Applications!$C$4:$C$33,MATCH($A18,Applications!$R$4:$R$33,0)),"")</f>
        <v/>
      </c>
      <c r="D18" s="26" t="n">
        <f aca="false">IFERROR(INDEX(Applications!$D$4:$D$33,MATCH($A18,Applications!$R$4:$R$33,0)),"")</f>
        <v>0</v>
      </c>
      <c r="E18" s="27" t="n">
        <f aca="false">IFERROR(INDEX(Applications!$H$4:$H$33,MATCH($A18,Applications!$R$4:$R$33,0)),"")</f>
        <v>0</v>
      </c>
      <c r="F18" s="35" t="str">
        <f aca="false">IFERROR(INDEX(Applications!$I$4:$I$33,MATCH($A18,Applications!$R$4:$R$33,0)),"")</f>
        <v/>
      </c>
      <c r="G18" s="24" t="n">
        <f aca="false">IFERROR(INDEX(Applications!$J$4:$J$33,MATCH($A18,Applications!$R$4:$R$33,0)),"")</f>
        <v>0</v>
      </c>
      <c r="H18" s="24" t="n">
        <f aca="false">IFERROR(INDEX(Applications!$K$4:$K$33,MATCH($A18,Applications!$R$4:$R$33,0)),"")</f>
        <v>0</v>
      </c>
    </row>
    <row r="19" customFormat="false" ht="18" hidden="false" customHeight="true" outlineLevel="0" collapsed="false">
      <c r="A19" s="24" t="n">
        <v>10</v>
      </c>
      <c r="B19" s="24" t="n">
        <f aca="false">IFERROR(INDEX(Applications!$B$4:$B$33,MATCH($A19,Applications!$R$4:$R$33,0)),"")</f>
        <v>0</v>
      </c>
      <c r="C19" s="24" t="str">
        <f aca="false">IFERROR(INDEX(Applications!$C$4:$C$33,MATCH($A19,Applications!$R$4:$R$33,0)),"")</f>
        <v/>
      </c>
      <c r="D19" s="26" t="n">
        <f aca="false">IFERROR(INDEX(Applications!$D$4:$D$33,MATCH($A19,Applications!$R$4:$R$33,0)),"")</f>
        <v>0</v>
      </c>
      <c r="E19" s="27" t="n">
        <f aca="false">IFERROR(INDEX(Applications!$H$4:$H$33,MATCH($A19,Applications!$R$4:$R$33,0)),"")</f>
        <v>0</v>
      </c>
      <c r="F19" s="35" t="str">
        <f aca="false">IFERROR(INDEX(Applications!$I$4:$I$33,MATCH($A19,Applications!$R$4:$R$33,0)),"")</f>
        <v/>
      </c>
      <c r="G19" s="24" t="n">
        <f aca="false">IFERROR(INDEX(Applications!$J$4:$J$33,MATCH($A19,Applications!$R$4:$R$33,0)),"")</f>
        <v>0</v>
      </c>
      <c r="H19" s="24" t="n">
        <f aca="false">IFERROR(INDEX(Applications!$K$4:$K$33,MATCH($A19,Applications!$R$4:$R$33,0)),"")</f>
        <v>0</v>
      </c>
    </row>
    <row r="20" customFormat="false" ht="18" hidden="false" customHeight="true" outlineLevel="0" collapsed="false">
      <c r="A20" s="24" t="n">
        <v>11</v>
      </c>
      <c r="B20" s="24" t="n">
        <f aca="false">IFERROR(INDEX(Applications!$B$4:$B$33,MATCH($A20,Applications!$R$4:$R$33,0)),"")</f>
        <v>0</v>
      </c>
      <c r="C20" s="24" t="str">
        <f aca="false">IFERROR(INDEX(Applications!$C$4:$C$33,MATCH($A20,Applications!$R$4:$R$33,0)),"")</f>
        <v/>
      </c>
      <c r="D20" s="26" t="n">
        <f aca="false">IFERROR(INDEX(Applications!$D$4:$D$33,MATCH($A20,Applications!$R$4:$R$33,0)),"")</f>
        <v>0</v>
      </c>
      <c r="E20" s="27" t="n">
        <f aca="false">IFERROR(INDEX(Applications!$H$4:$H$33,MATCH($A20,Applications!$R$4:$R$33,0)),"")</f>
        <v>0</v>
      </c>
      <c r="F20" s="35" t="str">
        <f aca="false">IFERROR(INDEX(Applications!$I$4:$I$33,MATCH($A20,Applications!$R$4:$R$33,0)),"")</f>
        <v/>
      </c>
      <c r="G20" s="24" t="n">
        <f aca="false">IFERROR(INDEX(Applications!$J$4:$J$33,MATCH($A20,Applications!$R$4:$R$33,0)),"")</f>
        <v>0</v>
      </c>
      <c r="H20" s="24" t="n">
        <f aca="false">IFERROR(INDEX(Applications!$K$4:$K$33,MATCH($A20,Applications!$R$4:$R$33,0)),"")</f>
        <v>0</v>
      </c>
    </row>
    <row r="21" customFormat="false" ht="18" hidden="false" customHeight="true" outlineLevel="0" collapsed="false">
      <c r="A21" s="24" t="n">
        <v>12</v>
      </c>
      <c r="B21" s="24" t="n">
        <f aca="false">IFERROR(INDEX(Applications!$B$4:$B$33,MATCH($A21,Applications!$R$4:$R$33,0)),"")</f>
        <v>0</v>
      </c>
      <c r="C21" s="24" t="str">
        <f aca="false">IFERROR(INDEX(Applications!$C$4:$C$33,MATCH($A21,Applications!$R$4:$R$33,0)),"")</f>
        <v/>
      </c>
      <c r="D21" s="26" t="n">
        <f aca="false">IFERROR(INDEX(Applications!$D$4:$D$33,MATCH($A21,Applications!$R$4:$R$33,0)),"")</f>
        <v>0</v>
      </c>
      <c r="E21" s="27" t="n">
        <f aca="false">IFERROR(INDEX(Applications!$H$4:$H$33,MATCH($A21,Applications!$R$4:$R$33,0)),"")</f>
        <v>0</v>
      </c>
      <c r="F21" s="35" t="str">
        <f aca="false">IFERROR(INDEX(Applications!$I$4:$I$33,MATCH($A21,Applications!$R$4:$R$33,0)),"")</f>
        <v/>
      </c>
      <c r="G21" s="24" t="n">
        <f aca="false">IFERROR(INDEX(Applications!$J$4:$J$33,MATCH($A21,Applications!$R$4:$R$33,0)),"")</f>
        <v>0</v>
      </c>
      <c r="H21" s="24" t="n">
        <f aca="false">IFERROR(INDEX(Applications!$K$4:$K$33,MATCH($A21,Applications!$R$4:$R$33,0)),"")</f>
        <v>0</v>
      </c>
    </row>
    <row r="22" customFormat="false" ht="18" hidden="false" customHeight="true" outlineLevel="0" collapsed="false">
      <c r="A22" s="24" t="n">
        <v>13</v>
      </c>
      <c r="B22" s="24" t="n">
        <f aca="false">IFERROR(INDEX(Applications!$B$4:$B$33,MATCH($A22,Applications!$R$4:$R$33,0)),"")</f>
        <v>0</v>
      </c>
      <c r="C22" s="24" t="str">
        <f aca="false">IFERROR(INDEX(Applications!$C$4:$C$33,MATCH($A22,Applications!$R$4:$R$33,0)),"")</f>
        <v/>
      </c>
      <c r="D22" s="26" t="n">
        <f aca="false">IFERROR(INDEX(Applications!$D$4:$D$33,MATCH($A22,Applications!$R$4:$R$33,0)),"")</f>
        <v>0</v>
      </c>
      <c r="E22" s="27" t="n">
        <f aca="false">IFERROR(INDEX(Applications!$H$4:$H$33,MATCH($A22,Applications!$R$4:$R$33,0)),"")</f>
        <v>0</v>
      </c>
      <c r="F22" s="35" t="str">
        <f aca="false">IFERROR(INDEX(Applications!$I$4:$I$33,MATCH($A22,Applications!$R$4:$R$33,0)),"")</f>
        <v/>
      </c>
      <c r="G22" s="24" t="n">
        <f aca="false">IFERROR(INDEX(Applications!$J$4:$J$33,MATCH($A22,Applications!$R$4:$R$33,0)),"")</f>
        <v>0</v>
      </c>
      <c r="H22" s="24" t="n">
        <f aca="false">IFERROR(INDEX(Applications!$K$4:$K$33,MATCH($A22,Applications!$R$4:$R$33,0)),"")</f>
        <v>0</v>
      </c>
    </row>
    <row r="23" customFormat="false" ht="18" hidden="false" customHeight="true" outlineLevel="0" collapsed="false">
      <c r="A23" s="24" t="n">
        <v>14</v>
      </c>
      <c r="B23" s="24" t="n">
        <f aca="false">IFERROR(INDEX(Applications!$B$4:$B$33,MATCH($A23,Applications!$R$4:$R$33,0)),"")</f>
        <v>0</v>
      </c>
      <c r="C23" s="24" t="str">
        <f aca="false">IFERROR(INDEX(Applications!$C$4:$C$33,MATCH($A23,Applications!$R$4:$R$33,0)),"")</f>
        <v/>
      </c>
      <c r="D23" s="26" t="n">
        <f aca="false">IFERROR(INDEX(Applications!$D$4:$D$33,MATCH($A23,Applications!$R$4:$R$33,0)),"")</f>
        <v>0</v>
      </c>
      <c r="E23" s="27" t="n">
        <f aca="false">IFERROR(INDEX(Applications!$H$4:$H$33,MATCH($A23,Applications!$R$4:$R$33,0)),"")</f>
        <v>0</v>
      </c>
      <c r="F23" s="35" t="str">
        <f aca="false">IFERROR(INDEX(Applications!$I$4:$I$33,MATCH($A23,Applications!$R$4:$R$33,0)),"")</f>
        <v/>
      </c>
      <c r="G23" s="24" t="n">
        <f aca="false">IFERROR(INDEX(Applications!$J$4:$J$33,MATCH($A23,Applications!$R$4:$R$33,0)),"")</f>
        <v>0</v>
      </c>
      <c r="H23" s="24" t="n">
        <f aca="false">IFERROR(INDEX(Applications!$K$4:$K$33,MATCH($A23,Applications!$R$4:$R$33,0)),"")</f>
        <v>0</v>
      </c>
    </row>
    <row r="24" customFormat="false" ht="18" hidden="false" customHeight="true" outlineLevel="0" collapsed="false">
      <c r="A24" s="24" t="n">
        <v>15</v>
      </c>
      <c r="B24" s="24" t="n">
        <f aca="false">IFERROR(INDEX(Applications!$B$4:$B$33,MATCH($A24,Applications!$R$4:$R$33,0)),"")</f>
        <v>0</v>
      </c>
      <c r="C24" s="24" t="str">
        <f aca="false">IFERROR(INDEX(Applications!$C$4:$C$33,MATCH($A24,Applications!$R$4:$R$33,0)),"")</f>
        <v/>
      </c>
      <c r="D24" s="26" t="n">
        <f aca="false">IFERROR(INDEX(Applications!$D$4:$D$33,MATCH($A24,Applications!$R$4:$R$33,0)),"")</f>
        <v>0</v>
      </c>
      <c r="E24" s="27" t="n">
        <f aca="false">IFERROR(INDEX(Applications!$H$4:$H$33,MATCH($A24,Applications!$R$4:$R$33,0)),"")</f>
        <v>0</v>
      </c>
      <c r="F24" s="35" t="str">
        <f aca="false">IFERROR(INDEX(Applications!$I$4:$I$33,MATCH($A24,Applications!$R$4:$R$33,0)),"")</f>
        <v/>
      </c>
      <c r="G24" s="24" t="n">
        <f aca="false">IFERROR(INDEX(Applications!$J$4:$J$33,MATCH($A24,Applications!$R$4:$R$33,0)),"")</f>
        <v>0</v>
      </c>
      <c r="H24" s="24" t="n">
        <f aca="false">IFERROR(INDEX(Applications!$K$4:$K$33,MATCH($A24,Applications!$R$4:$R$33,0)),"")</f>
        <v>0</v>
      </c>
    </row>
    <row r="25" customFormat="false" ht="18" hidden="false" customHeight="true" outlineLevel="0" collapsed="false">
      <c r="A25" s="24" t="n">
        <v>16</v>
      </c>
      <c r="B25" s="24" t="n">
        <f aca="false">IFERROR(INDEX(Applications!$B$4:$B$33,MATCH($A25,Applications!$R$4:$R$33,0)),"")</f>
        <v>0</v>
      </c>
      <c r="C25" s="24" t="str">
        <f aca="false">IFERROR(INDEX(Applications!$C$4:$C$33,MATCH($A25,Applications!$R$4:$R$33,0)),"")</f>
        <v/>
      </c>
      <c r="D25" s="26" t="n">
        <f aca="false">IFERROR(INDEX(Applications!$D$4:$D$33,MATCH($A25,Applications!$R$4:$R$33,0)),"")</f>
        <v>0</v>
      </c>
      <c r="E25" s="27" t="n">
        <f aca="false">IFERROR(INDEX(Applications!$H$4:$H$33,MATCH($A25,Applications!$R$4:$R$33,0)),"")</f>
        <v>0</v>
      </c>
      <c r="F25" s="35" t="str">
        <f aca="false">IFERROR(INDEX(Applications!$I$4:$I$33,MATCH($A25,Applications!$R$4:$R$33,0)),"")</f>
        <v/>
      </c>
      <c r="G25" s="24" t="n">
        <f aca="false">IFERROR(INDEX(Applications!$J$4:$J$33,MATCH($A25,Applications!$R$4:$R$33,0)),"")</f>
        <v>0</v>
      </c>
      <c r="H25" s="24" t="n">
        <f aca="false">IFERROR(INDEX(Applications!$K$4:$K$33,MATCH($A25,Applications!$R$4:$R$33,0)),"")</f>
        <v>0</v>
      </c>
    </row>
    <row r="26" customFormat="false" ht="18" hidden="false" customHeight="true" outlineLevel="0" collapsed="false">
      <c r="A26" s="24" t="n">
        <v>17</v>
      </c>
      <c r="B26" s="24" t="n">
        <f aca="false">IFERROR(INDEX(Applications!$B$4:$B$33,MATCH($A26,Applications!$R$4:$R$33,0)),"")</f>
        <v>0</v>
      </c>
      <c r="C26" s="24" t="str">
        <f aca="false">IFERROR(INDEX(Applications!$C$4:$C$33,MATCH($A26,Applications!$R$4:$R$33,0)),"")</f>
        <v/>
      </c>
      <c r="D26" s="26" t="n">
        <f aca="false">IFERROR(INDEX(Applications!$D$4:$D$33,MATCH($A26,Applications!$R$4:$R$33,0)),"")</f>
        <v>0</v>
      </c>
      <c r="E26" s="27" t="n">
        <f aca="false">IFERROR(INDEX(Applications!$H$4:$H$33,MATCH($A26,Applications!$R$4:$R$33,0)),"")</f>
        <v>0</v>
      </c>
      <c r="F26" s="35" t="str">
        <f aca="false">IFERROR(INDEX(Applications!$I$4:$I$33,MATCH($A26,Applications!$R$4:$R$33,0)),"")</f>
        <v/>
      </c>
      <c r="G26" s="24" t="n">
        <f aca="false">IFERROR(INDEX(Applications!$J$4:$J$33,MATCH($A26,Applications!$R$4:$R$33,0)),"")</f>
        <v>0</v>
      </c>
      <c r="H26" s="24" t="n">
        <f aca="false">IFERROR(INDEX(Applications!$K$4:$K$33,MATCH($A26,Applications!$R$4:$R$33,0)),"")</f>
        <v>0</v>
      </c>
    </row>
    <row r="27" customFormat="false" ht="18" hidden="false" customHeight="true" outlineLevel="0" collapsed="false">
      <c r="A27" s="24" t="n">
        <v>18</v>
      </c>
      <c r="B27" s="24" t="n">
        <f aca="false">IFERROR(INDEX(Applications!$B$4:$B$33,MATCH($A27,Applications!$R$4:$R$33,0)),"")</f>
        <v>0</v>
      </c>
      <c r="C27" s="24" t="str">
        <f aca="false">IFERROR(INDEX(Applications!$C$4:$C$33,MATCH($A27,Applications!$R$4:$R$33,0)),"")</f>
        <v/>
      </c>
      <c r="D27" s="26" t="n">
        <f aca="false">IFERROR(INDEX(Applications!$D$4:$D$33,MATCH($A27,Applications!$R$4:$R$33,0)),"")</f>
        <v>0</v>
      </c>
      <c r="E27" s="27" t="n">
        <f aca="false">IFERROR(INDEX(Applications!$H$4:$H$33,MATCH($A27,Applications!$R$4:$R$33,0)),"")</f>
        <v>0</v>
      </c>
      <c r="F27" s="35" t="str">
        <f aca="false">IFERROR(INDEX(Applications!$I$4:$I$33,MATCH($A27,Applications!$R$4:$R$33,0)),"")</f>
        <v/>
      </c>
      <c r="G27" s="24" t="n">
        <f aca="false">IFERROR(INDEX(Applications!$J$4:$J$33,MATCH($A27,Applications!$R$4:$R$33,0)),"")</f>
        <v>0</v>
      </c>
      <c r="H27" s="24" t="n">
        <f aca="false">IFERROR(INDEX(Applications!$K$4:$K$33,MATCH($A27,Applications!$R$4:$R$33,0)),"")</f>
        <v>0</v>
      </c>
    </row>
    <row r="28" customFormat="false" ht="18" hidden="false" customHeight="true" outlineLevel="0" collapsed="false">
      <c r="A28" s="24" t="n">
        <v>19</v>
      </c>
      <c r="B28" s="24" t="n">
        <f aca="false">IFERROR(INDEX(Applications!$B$4:$B$33,MATCH($A28,Applications!$R$4:$R$33,0)),"")</f>
        <v>0</v>
      </c>
      <c r="C28" s="24" t="str">
        <f aca="false">IFERROR(INDEX(Applications!$C$4:$C$33,MATCH($A28,Applications!$R$4:$R$33,0)),"")</f>
        <v/>
      </c>
      <c r="D28" s="26" t="n">
        <f aca="false">IFERROR(INDEX(Applications!$D$4:$D$33,MATCH($A28,Applications!$R$4:$R$33,0)),"")</f>
        <v>0</v>
      </c>
      <c r="E28" s="27" t="n">
        <f aca="false">IFERROR(INDEX(Applications!$H$4:$H$33,MATCH($A28,Applications!$R$4:$R$33,0)),"")</f>
        <v>0</v>
      </c>
      <c r="F28" s="35" t="str">
        <f aca="false">IFERROR(INDEX(Applications!$I$4:$I$33,MATCH($A28,Applications!$R$4:$R$33,0)),"")</f>
        <v/>
      </c>
      <c r="G28" s="24" t="n">
        <f aca="false">IFERROR(INDEX(Applications!$J$4:$J$33,MATCH($A28,Applications!$R$4:$R$33,0)),"")</f>
        <v>0</v>
      </c>
      <c r="H28" s="24" t="n">
        <f aca="false">IFERROR(INDEX(Applications!$K$4:$K$33,MATCH($A28,Applications!$R$4:$R$33,0)),"")</f>
        <v>0</v>
      </c>
    </row>
    <row r="29" customFormat="false" ht="18" hidden="false" customHeight="true" outlineLevel="0" collapsed="false">
      <c r="A29" s="24" t="n">
        <v>20</v>
      </c>
      <c r="B29" s="24" t="n">
        <f aca="false">IFERROR(INDEX(Applications!$B$4:$B$33,MATCH($A29,Applications!$R$4:$R$33,0)),"")</f>
        <v>0</v>
      </c>
      <c r="C29" s="24" t="str">
        <f aca="false">IFERROR(INDEX(Applications!$C$4:$C$33,MATCH($A29,Applications!$R$4:$R$33,0)),"")</f>
        <v/>
      </c>
      <c r="D29" s="26" t="n">
        <f aca="false">IFERROR(INDEX(Applications!$D$4:$D$33,MATCH($A29,Applications!$R$4:$R$33,0)),"")</f>
        <v>0</v>
      </c>
      <c r="E29" s="27" t="n">
        <f aca="false">IFERROR(INDEX(Applications!$H$4:$H$33,MATCH($A29,Applications!$R$4:$R$33,0)),"")</f>
        <v>0</v>
      </c>
      <c r="F29" s="35" t="str">
        <f aca="false">IFERROR(INDEX(Applications!$I$4:$I$33,MATCH($A29,Applications!$R$4:$R$33,0)),"")</f>
        <v/>
      </c>
      <c r="G29" s="24" t="n">
        <f aca="false">IFERROR(INDEX(Applications!$J$4:$J$33,MATCH($A29,Applications!$R$4:$R$33,0)),"")</f>
        <v>0</v>
      </c>
      <c r="H29" s="24" t="n">
        <f aca="false">IFERROR(INDEX(Applications!$K$4:$K$33,MATCH($A29,Applications!$R$4:$R$33,0)),"")</f>
        <v>0</v>
      </c>
    </row>
    <row r="31" customFormat="false" ht="15" hidden="false" customHeight="false" outlineLevel="0" collapsed="false">
      <c r="B31" s="36" t="s">
        <v>80</v>
      </c>
      <c r="C31" s="36" t="s">
        <v>10</v>
      </c>
    </row>
    <row r="32" customFormat="false" ht="15" hidden="false" customHeight="false" outlineLevel="0" collapsed="false">
      <c r="B32" s="37" t="s">
        <v>11</v>
      </c>
      <c r="C32" s="37" t="n">
        <f aca="false">SUMPRODUCT((Applications!$R$4:$R$33&lt;&gt;"")*(Applications!$J$4:$J$33="Not Started"))</f>
        <v>0</v>
      </c>
    </row>
    <row r="33" customFormat="false" ht="15" hidden="false" customHeight="false" outlineLevel="0" collapsed="false">
      <c r="B33" s="37" t="s">
        <v>12</v>
      </c>
      <c r="C33" s="37" t="n">
        <f aca="false">SUMPRODUCT((Applications!$R$4:$R$33&lt;&gt;"")*(Applications!$J$4:$J$33="In Progress"))</f>
        <v>1</v>
      </c>
    </row>
    <row r="34" customFormat="false" ht="15" hidden="false" customHeight="false" outlineLevel="0" collapsed="false">
      <c r="B34" s="37" t="s">
        <v>16</v>
      </c>
      <c r="C34" s="37" t="n">
        <f aca="false">SUMPRODUCT((Applications!$R$4:$R$33&lt;&gt;"")*(Applications!$J$4:$J$33="Submitted"))</f>
        <v>0</v>
      </c>
    </row>
    <row r="35" customFormat="false" ht="15" hidden="false" customHeight="false" outlineLevel="0" collapsed="false">
      <c r="B35" s="37" t="s">
        <v>17</v>
      </c>
      <c r="C35" s="37" t="n">
        <f aca="false">SUMPRODUCT((Applications!$R$4:$R$33&lt;&gt;"")*(Applications!$J$4:$J$33="Interview"))</f>
        <v>0</v>
      </c>
    </row>
    <row r="36" customFormat="false" ht="15" hidden="false" customHeight="false" outlineLevel="0" collapsed="false">
      <c r="B36" s="37" t="s">
        <v>18</v>
      </c>
      <c r="C36" s="37" t="n">
        <f aca="false">SUMPRODUCT((Applications!$R$4:$R$33&lt;&gt;"")*(Applications!$J$4:$J$33="Accepted"))</f>
        <v>0</v>
      </c>
    </row>
    <row r="37" customFormat="false" ht="15" hidden="false" customHeight="false" outlineLevel="0" collapsed="false">
      <c r="B37" s="37" t="s">
        <v>19</v>
      </c>
      <c r="C37" s="37" t="n">
        <f aca="false">SUMPRODUCT((Applications!$R$4:$R$33&lt;&gt;"")*(Applications!$J$4:$J$33="Rejected"))</f>
        <v>0</v>
      </c>
    </row>
  </sheetData>
  <mergeCells count="6">
    <mergeCell ref="A1:H1"/>
    <mergeCell ref="A2:H2"/>
    <mergeCell ref="F4:G4"/>
    <mergeCell ref="F5:G5"/>
    <mergeCell ref="F6:G6"/>
    <mergeCell ref="F7:G7"/>
  </mergeCells>
  <conditionalFormatting sqref="F10:F29">
    <cfRule type="cellIs" priority="2" operator="between" aboveAverage="0" equalAverage="0" bottom="0" percent="0" rank="0" text="" dxfId="0">
      <formula>0</formula>
      <formula>30</formula>
    </cfRule>
    <cfRule type="cellIs" priority="3" operator="between" aboveAverage="0" equalAverage="0" bottom="0" percent="0" rank="0" text="" dxfId="19">
      <formula>31</formula>
      <formula>60</formula>
    </cfRule>
  </conditionalFormatting>
  <conditionalFormatting sqref="A10:H29">
    <cfRule type="expression" priority="4" aboveAverage="0" equalAverage="0" bottom="0" percent="0" rank="0" text="" dxfId="1">
      <formula>$B10=""</formula>
    </cfRule>
  </conditionalFormatting>
  <dataValidations count="3">
    <dataValidation allowBlank="true" errorStyle="stop" operator="between" showDropDown="false" showErrorMessage="false" showInputMessage="false" sqref="C4" type="list">
      <formula1>Lists!$G$2:$G$3</formula1>
      <formula2>0</formula2>
    </dataValidation>
    <dataValidation allowBlank="true" errorStyle="stop" operator="between" showDropDown="false" showErrorMessage="false" showInputMessage="false" sqref="C5" type="list">
      <formula1>Lists!$H$2:$H$8</formula1>
      <formula2>0</formula2>
    </dataValidation>
    <dataValidation allowBlank="true" errorStyle="stop" operator="between" showDropDown="false" showErrorMessage="false" showInputMessage="false" sqref="C6" type="list">
      <formula1>Lists!$I$2:$I$5</formula1>
      <formula2>0</formula2>
    </dataValidation>
  </dataValidations>
  <hyperlinks>
    <hyperlink ref="A1" r:id="rId1" display="ApplyAbroadLab.com — Application Tracker Pr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6"/>
    <col collapsed="false" customWidth="true" hidden="false" outlineLevel="0" max="6" min="6" style="0" width="3"/>
    <col collapsed="false" customWidth="true" hidden="false" outlineLevel="0" max="7" min="7" style="0" width="60"/>
    <col collapsed="false" customWidth="true" hidden="false" outlineLevel="0" max="8" min="8" style="0" width="3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9" t="s">
        <v>81</v>
      </c>
      <c r="B2" s="19"/>
      <c r="C2" s="19"/>
      <c r="D2" s="19"/>
      <c r="E2" s="19"/>
      <c r="F2" s="19"/>
      <c r="G2" s="19"/>
      <c r="H2" s="19"/>
    </row>
    <row r="3" customFormat="false" ht="30" hidden="false" customHeight="true" outlineLevel="0" collapsed="false">
      <c r="A3" s="23" t="s">
        <v>82</v>
      </c>
      <c r="B3" s="23" t="s">
        <v>83</v>
      </c>
      <c r="C3" s="23" t="s">
        <v>84</v>
      </c>
      <c r="D3" s="23" t="s">
        <v>85</v>
      </c>
      <c r="E3" s="23" t="s">
        <v>86</v>
      </c>
      <c r="F3" s="23"/>
      <c r="G3" s="23" t="s">
        <v>87</v>
      </c>
      <c r="H3" s="23"/>
    </row>
    <row r="4" customFormat="false" ht="23.85" hidden="false" customHeight="false" outlineLevel="0" collapsed="false">
      <c r="A4" s="38" t="s">
        <v>25</v>
      </c>
      <c r="B4" s="32" t="s">
        <v>56</v>
      </c>
      <c r="C4" s="32"/>
      <c r="D4" s="32"/>
      <c r="E4" s="32"/>
    </row>
    <row r="5" customFormat="false" ht="19.5" hidden="false" customHeight="true" outlineLevel="0" collapsed="false">
      <c r="A5" s="31" t="s">
        <v>88</v>
      </c>
      <c r="B5" s="24" t="n">
        <f aca="false">IFERROR(INDEX(Applications!$L$4:$L$33,MATCH(B$4,Applications!$B$4:$B$33,0)),0)</f>
        <v>8</v>
      </c>
      <c r="C5" s="24" t="n">
        <f aca="false">IFERROR(INDEX(Applications!$L$4:$L$33,MATCH(C$4,Applications!$B$4:$B$33,0)),0)</f>
        <v>0</v>
      </c>
      <c r="D5" s="24" t="n">
        <f aca="false">IFERROR(INDEX(Applications!$L$4:$L$33,MATCH(D$4,Applications!$B$4:$B$33,0)),0)</f>
        <v>0</v>
      </c>
      <c r="E5" s="24" t="n">
        <f aca="false">IFERROR(INDEX(Applications!$L$4:$L$33,MATCH(E$4,Applications!$B$4:$B$33,0)),0)</f>
        <v>0</v>
      </c>
      <c r="G5" s="39" t="s">
        <v>89</v>
      </c>
      <c r="H5" s="39"/>
    </row>
    <row r="6" customFormat="false" ht="19.5" hidden="false" customHeight="true" outlineLevel="0" collapsed="false">
      <c r="A6" s="31" t="s">
        <v>90</v>
      </c>
      <c r="B6" s="24" t="n">
        <f aca="false">IFERROR(IF(ISNUMBER(SEARCH("Fully",INDEX(Applications!$M$4:$M$33,MATCH(B$4,Applications!$B$4:$B$33,0)))),10,IF(ISNUMBER(SEARCH("Partial",INDEX(Applications!$M$4:$M$33,MATCH(B$4,Applications!$B$4:$B$33,0)))),6,7)),0)</f>
        <v>10</v>
      </c>
      <c r="C6" s="24" t="n">
        <f aca="false">IFERROR(IF(ISNUMBER(SEARCH("Fully",INDEX(Applications!$M$4:$M$33,MATCH(C$4,Applications!$B$4:$B$33,0)))),10,IF(ISNUMBER(SEARCH("Partial",INDEX(Applications!$M$4:$M$33,MATCH(C$4,Applications!$B$4:$B$33,0)))),6,7)),0)</f>
        <v>7</v>
      </c>
      <c r="D6" s="24" t="n">
        <f aca="false">IFERROR(IF(ISNUMBER(SEARCH("Fully",INDEX(Applications!$M$4:$M$33,MATCH(D$4,Applications!$B$4:$B$33,0)))),10,IF(ISNUMBER(SEARCH("Partial",INDEX(Applications!$M$4:$M$33,MATCH(D$4,Applications!$B$4:$B$33,0)))),6,7)),0)</f>
        <v>7</v>
      </c>
      <c r="E6" s="24" t="n">
        <f aca="false">IFERROR(IF(ISNUMBER(SEARCH("Fully",INDEX(Applications!$M$4:$M$33,MATCH(E$4,Applications!$B$4:$B$33,0)))),10,IF(ISNUMBER(SEARCH("Partial",INDEX(Applications!$M$4:$M$33,MATCH(E$4,Applications!$B$4:$B$33,0)))),6,7)),0)</f>
        <v>7</v>
      </c>
      <c r="G6" s="39" t="s">
        <v>91</v>
      </c>
      <c r="H6" s="39"/>
    </row>
    <row r="7" customFormat="false" ht="19.5" hidden="false" customHeight="true" outlineLevel="0" collapsed="false">
      <c r="A7" s="31" t="s">
        <v>92</v>
      </c>
      <c r="B7" s="24" t="n">
        <f aca="false">IFERROR(INDEX('Universities &amp; Supervisors'!$F$4:$F$8,MATCH(B$4,'Universities &amp; Supervisors'!$A$4:$A$8,0)),0)</f>
        <v>8</v>
      </c>
      <c r="C7" s="24" t="n">
        <f aca="false">IFERROR(INDEX('Universities &amp; Supervisors'!$F$4:$F$8,MATCH(C$4,'Universities &amp; Supervisors'!$A$4:$A$8,0)),0)</f>
        <v>0</v>
      </c>
      <c r="D7" s="24" t="n">
        <f aca="false">IFERROR(INDEX('Universities &amp; Supervisors'!$F$4:$F$8,MATCH(D$4,'Universities &amp; Supervisors'!$A$4:$A$8,0)),0)</f>
        <v>0</v>
      </c>
      <c r="E7" s="24" t="n">
        <f aca="false">IFERROR(INDEX('Universities &amp; Supervisors'!$F$4:$F$8,MATCH(E$4,'Universities &amp; Supervisors'!$A$4:$A$8,0)),0)</f>
        <v>0</v>
      </c>
      <c r="G7" s="39" t="s">
        <v>93</v>
      </c>
      <c r="H7" s="39"/>
    </row>
    <row r="8" customFormat="false" ht="19.5" hidden="false" customHeight="true" outlineLevel="0" collapsed="false">
      <c r="A8" s="31" t="s">
        <v>94</v>
      </c>
      <c r="B8" s="24" t="n">
        <f aca="false">IFERROR(MAX(0,MIN(10,ROUND(10-INDEX(Applications!$I$4:$I$33,MATCH(B$4,Applications!$B$4:$B$33,0))/20,0))),0)</f>
        <v>9</v>
      </c>
      <c r="C8" s="24" t="n">
        <f aca="false">IFERROR(MAX(0,MIN(10,ROUND(10-INDEX(Applications!$I$4:$I$33,MATCH(C$4,Applications!$B$4:$B$33,0))/20,0))),0)</f>
        <v>0</v>
      </c>
      <c r="D8" s="24" t="n">
        <f aca="false">IFERROR(MAX(0,MIN(10,ROUND(10-INDEX(Applications!$I$4:$I$33,MATCH(D$4,Applications!$B$4:$B$33,0))/20,0))),0)</f>
        <v>0</v>
      </c>
      <c r="E8" s="24" t="n">
        <f aca="false">IFERROR(MAX(0,MIN(10,ROUND(10-INDEX(Applications!$I$4:$I$33,MATCH(E$4,Applications!$B$4:$B$33,0))/20,0))),0)</f>
        <v>0</v>
      </c>
      <c r="G8" s="39" t="s">
        <v>95</v>
      </c>
      <c r="H8" s="39"/>
    </row>
    <row r="9" customFormat="false" ht="19.5" hidden="false" customHeight="true" outlineLevel="0" collapsed="false">
      <c r="A9" s="31" t="s">
        <v>96</v>
      </c>
      <c r="B9" s="24" t="n">
        <f aca="false">IFERROR(INDEX('Universities &amp; Supervisors'!$G$4:$G$8,MATCH(B$4,'Universities &amp; Supervisors'!$A$4:$A$8,0)),0)</f>
        <v>7</v>
      </c>
      <c r="C9" s="24" t="n">
        <f aca="false">IFERROR(INDEX('Universities &amp; Supervisors'!$G$4:$G$8,MATCH(C$4,'Universities &amp; Supervisors'!$A$4:$A$8,0)),0)</f>
        <v>0</v>
      </c>
      <c r="D9" s="24" t="n">
        <f aca="false">IFERROR(INDEX('Universities &amp; Supervisors'!$G$4:$G$8,MATCH(D$4,'Universities &amp; Supervisors'!$A$4:$A$8,0)),0)</f>
        <v>0</v>
      </c>
      <c r="E9" s="24" t="n">
        <f aca="false">IFERROR(INDEX('Universities &amp; Supervisors'!$G$4:$G$8,MATCH(E$4,'Universities &amp; Supervisors'!$A$4:$A$8,0)),0)</f>
        <v>0</v>
      </c>
      <c r="G9" s="39" t="s">
        <v>97</v>
      </c>
      <c r="H9" s="39"/>
    </row>
    <row r="10" customFormat="false" ht="15" hidden="false" customHeight="false" outlineLevel="0" collapsed="false">
      <c r="A10" s="23" t="s">
        <v>98</v>
      </c>
      <c r="B10" s="31" t="n">
        <f aca="false">ROUND(AVERAGE(B5:B9),1)</f>
        <v>8.4</v>
      </c>
      <c r="C10" s="31" t="n">
        <f aca="false">ROUND(AVERAGE(C5:C9),1)</f>
        <v>1.4</v>
      </c>
      <c r="D10" s="31" t="n">
        <f aca="false">ROUND(AVERAGE(D5:D9),1)</f>
        <v>1.4</v>
      </c>
      <c r="E10" s="31" t="n">
        <f aca="false">ROUND(AVERAGE(E5:E9),1)</f>
        <v>1.4</v>
      </c>
    </row>
  </sheetData>
  <mergeCells count="8">
    <mergeCell ref="A1:H1"/>
    <mergeCell ref="A2:H2"/>
    <mergeCell ref="G3:H3"/>
    <mergeCell ref="G5:H5"/>
    <mergeCell ref="G6:H6"/>
    <mergeCell ref="G7:H7"/>
    <mergeCell ref="G8:H8"/>
    <mergeCell ref="G9:H9"/>
  </mergeCells>
  <dataValidations count="1">
    <dataValidation allowBlank="true" errorStyle="stop" operator="between" showDropDown="false" showErrorMessage="false" showInputMessage="false" sqref="B4:E4" type="list">
      <formula1>'Universities &amp; Supervisors'!$A$4:$A$8</formula1>
      <formula2>0</formula2>
    </dataValidation>
  </dataValidations>
  <hyperlinks>
    <hyperlink ref="A1" r:id="rId1" display="ApplyAbroadLab.com — Application Tracker Pr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0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9.7" hidden="false" customHeight="false" outlineLevel="0" collapsed="false">
      <c r="B3" s="40" t="s">
        <v>99</v>
      </c>
    </row>
    <row r="5" customFormat="false" ht="48" hidden="false" customHeight="true" outlineLevel="0" collapsed="false">
      <c r="B5" s="41" t="s">
        <v>100</v>
      </c>
      <c r="C5" s="42" t="s">
        <v>101</v>
      </c>
    </row>
    <row r="6" customFormat="false" ht="48" hidden="false" customHeight="true" outlineLevel="0" collapsed="false">
      <c r="B6" s="41" t="s">
        <v>102</v>
      </c>
      <c r="C6" s="42" t="s">
        <v>103</v>
      </c>
    </row>
    <row r="7" customFormat="false" ht="48" hidden="false" customHeight="true" outlineLevel="0" collapsed="false">
      <c r="B7" s="41" t="s">
        <v>104</v>
      </c>
      <c r="C7" s="42" t="s">
        <v>105</v>
      </c>
    </row>
    <row r="8" customFormat="false" ht="48" hidden="false" customHeight="true" outlineLevel="0" collapsed="false">
      <c r="B8" s="41" t="s">
        <v>106</v>
      </c>
      <c r="C8" s="42" t="s">
        <v>107</v>
      </c>
    </row>
    <row r="9" customFormat="false" ht="48" hidden="false" customHeight="true" outlineLevel="0" collapsed="false">
      <c r="B9" s="41" t="s">
        <v>108</v>
      </c>
      <c r="C9" s="42" t="s">
        <v>109</v>
      </c>
    </row>
    <row r="10" customFormat="false" ht="48" hidden="false" customHeight="true" outlineLevel="0" collapsed="false">
      <c r="B10" s="41" t="s">
        <v>110</v>
      </c>
      <c r="C10" s="42" t="s">
        <v>111</v>
      </c>
    </row>
    <row r="11" customFormat="false" ht="48" hidden="false" customHeight="true" outlineLevel="0" collapsed="false">
      <c r="B11" s="41" t="s">
        <v>112</v>
      </c>
      <c r="C11" s="42" t="s">
        <v>113</v>
      </c>
    </row>
    <row r="12" customFormat="false" ht="48" hidden="false" customHeight="true" outlineLevel="0" collapsed="false">
      <c r="B12" s="41" t="s">
        <v>114</v>
      </c>
      <c r="C12" s="42" t="s">
        <v>115</v>
      </c>
    </row>
    <row r="13" customFormat="false" ht="48" hidden="false" customHeight="true" outlineLevel="0" collapsed="false">
      <c r="B13" s="41" t="s">
        <v>116</v>
      </c>
      <c r="C13" s="42" t="s">
        <v>117</v>
      </c>
    </row>
    <row r="14" customFormat="false" ht="48" hidden="false" customHeight="true" outlineLevel="0" collapsed="false">
      <c r="B14" s="41" t="s">
        <v>118</v>
      </c>
      <c r="C14" s="42" t="s">
        <v>119</v>
      </c>
    </row>
  </sheetData>
  <mergeCells count="1">
    <mergeCell ref="A1:F1"/>
  </mergeCells>
  <hyperlinks>
    <hyperlink ref="A1" r:id="rId1" display="ApplyAbroadLab.com — Application Tracker Pr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4"/>
  </cols>
  <sheetData>
    <row r="1" customFormat="false" ht="15" hidden="false" customHeight="false" outlineLevel="0" collapsed="false">
      <c r="A1" s="36" t="s">
        <v>9</v>
      </c>
      <c r="B1" s="36" t="s">
        <v>48</v>
      </c>
      <c r="C1" s="36" t="s">
        <v>45</v>
      </c>
      <c r="D1" s="36" t="s">
        <v>44</v>
      </c>
      <c r="E1" s="36" t="s">
        <v>67</v>
      </c>
      <c r="G1" s="36" t="s">
        <v>120</v>
      </c>
      <c r="H1" s="36" t="s">
        <v>121</v>
      </c>
      <c r="I1" s="36" t="s">
        <v>122</v>
      </c>
    </row>
    <row r="2" customFormat="false" ht="15" hidden="false" customHeight="false" outlineLevel="0" collapsed="false">
      <c r="A2" s="0" t="s">
        <v>11</v>
      </c>
      <c r="B2" s="0" t="s">
        <v>60</v>
      </c>
      <c r="C2" s="0" t="s">
        <v>59</v>
      </c>
      <c r="D2" s="0" t="s">
        <v>123</v>
      </c>
      <c r="E2" s="0" t="s">
        <v>72</v>
      </c>
      <c r="G2" s="0" t="s">
        <v>75</v>
      </c>
      <c r="H2" s="0" t="s">
        <v>75</v>
      </c>
      <c r="I2" s="0" t="s">
        <v>75</v>
      </c>
    </row>
    <row r="3" customFormat="false" ht="15" hidden="false" customHeight="false" outlineLevel="0" collapsed="false">
      <c r="A3" s="0" t="s">
        <v>12</v>
      </c>
      <c r="B3" s="0" t="s">
        <v>124</v>
      </c>
      <c r="C3" s="0" t="s">
        <v>125</v>
      </c>
      <c r="D3" s="0" t="s">
        <v>126</v>
      </c>
      <c r="E3" s="0" t="s">
        <v>127</v>
      </c>
      <c r="G3" s="0" t="s">
        <v>21</v>
      </c>
      <c r="H3" s="0" t="s">
        <v>11</v>
      </c>
      <c r="I3" s="0" t="s">
        <v>60</v>
      </c>
    </row>
    <row r="4" customFormat="false" ht="15" hidden="false" customHeight="false" outlineLevel="0" collapsed="false">
      <c r="A4" s="0" t="s">
        <v>16</v>
      </c>
      <c r="B4" s="0" t="s">
        <v>128</v>
      </c>
      <c r="C4" s="0" t="s">
        <v>129</v>
      </c>
      <c r="D4" s="0" t="s">
        <v>130</v>
      </c>
      <c r="E4" s="0" t="s">
        <v>131</v>
      </c>
      <c r="H4" s="0" t="s">
        <v>12</v>
      </c>
      <c r="I4" s="0" t="s">
        <v>124</v>
      </c>
    </row>
    <row r="5" customFormat="false" ht="15" hidden="false" customHeight="false" outlineLevel="0" collapsed="false">
      <c r="A5" s="0" t="s">
        <v>17</v>
      </c>
      <c r="D5" s="0" t="s">
        <v>132</v>
      </c>
      <c r="E5" s="0" t="s">
        <v>133</v>
      </c>
      <c r="H5" s="0" t="s">
        <v>16</v>
      </c>
      <c r="I5" s="0" t="s">
        <v>128</v>
      </c>
    </row>
    <row r="6" customFormat="false" ht="15" hidden="false" customHeight="false" outlineLevel="0" collapsed="false">
      <c r="A6" s="0" t="s">
        <v>18</v>
      </c>
      <c r="D6" s="0" t="s">
        <v>134</v>
      </c>
      <c r="H6" s="0" t="s">
        <v>17</v>
      </c>
    </row>
    <row r="7" customFormat="false" ht="15" hidden="false" customHeight="false" outlineLevel="0" collapsed="false">
      <c r="A7" s="0" t="s">
        <v>19</v>
      </c>
      <c r="D7" s="0" t="s">
        <v>135</v>
      </c>
      <c r="H7" s="0" t="s">
        <v>18</v>
      </c>
    </row>
    <row r="8" customFormat="false" ht="15" hidden="false" customHeight="false" outlineLevel="0" collapsed="false">
      <c r="D8" s="0" t="s">
        <v>136</v>
      </c>
      <c r="H8" s="0" t="s">
        <v>19</v>
      </c>
    </row>
    <row r="9" customFormat="false" ht="15" hidden="false" customHeight="false" outlineLevel="0" collapsed="false">
      <c r="D9" s="0" t="s">
        <v>137</v>
      </c>
    </row>
    <row r="10" customFormat="false" ht="15" hidden="false" customHeight="false" outlineLevel="0" collapsed="false">
      <c r="D10" s="0" t="s">
        <v>138</v>
      </c>
    </row>
    <row r="11" customFormat="false" ht="15" hidden="false" customHeight="false" outlineLevel="0" collapsed="false">
      <c r="D11" s="0" t="s">
        <v>139</v>
      </c>
    </row>
    <row r="12" customFormat="false" ht="15" hidden="false" customHeight="false" outlineLevel="0" collapsed="false">
      <c r="D12" s="0" t="s">
        <v>140</v>
      </c>
    </row>
    <row r="13" customFormat="false" ht="15" hidden="false" customHeight="false" outlineLevel="0" collapsed="false">
      <c r="D13" s="0" t="s">
        <v>58</v>
      </c>
    </row>
    <row r="14" customFormat="false" ht="15" hidden="false" customHeight="false" outlineLevel="0" collapsed="false">
      <c r="D14" s="0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2026-09-21T23:10:41Z</dcterms:created>
  <dc:creator>ApplyAbroadLab.com</dc:creator>
  <dc:description/>
  <dc:language>en-US</dc:language>
  <cp:lastModifiedBy/>
  <dcterms:modified xsi:type="dcterms:W3CDTF">2026-09-21T23:10:43Z</dcterms:modified>
  <cp:revision>1</cp:revision>
  <dc:subject/>
  <dc:title>Apply Abroad Lab Application Tracker Pro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