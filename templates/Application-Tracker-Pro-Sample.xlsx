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/>
  <mc:AlternateContent xmlns:mc="http://schemas.openxmlformats.org/markup-compatibility/2006">
    <mc:Choice Requires="x15">
      <x15ac:absPath xmlns:x15ac="http://schemas.microsoft.com/office/spreadsheetml/2010/11/ac" url="D:\portfolio\academic-application-tracker\templates\"/>
    </mc:Choice>
  </mc:AlternateContent>
  <xr:revisionPtr revIDLastSave="0" documentId="13_ncr:1_{E1EAFFDA-9D30-4E6E-9DB4-CA23DA738D7F}" xr6:coauthVersionLast="45" xr6:coauthVersionMax="45" xr10:uidLastSave="{00000000-0000-0000-0000-000000000000}"/>
  <bookViews>
    <workbookView xWindow="-108" yWindow="-108" windowWidth="23256" windowHeight="13176" tabRatio="500" xr2:uid="{00000000-000D-0000-FFFF-FFFF00000000}"/>
  </bookViews>
  <sheets>
    <sheet name="Dashboard" sheetId="1" r:id="rId1"/>
    <sheet name="Applications" sheetId="2" r:id="rId2"/>
    <sheet name="Universities &amp; Supervisors" sheetId="3" r:id="rId3"/>
    <sheet name="Explorer" sheetId="4" r:id="rId4"/>
    <sheet name="Scoring" sheetId="5" r:id="rId5"/>
    <sheet name="How It Works" sheetId="6" r:id="rId6"/>
    <sheet name="Lists" sheetId="7" state="hidden" r:id="rId7"/>
  </sheets>
  <definedNames>
    <definedName name="_xlnm._FilterDatabase" localSheetId="1" hidden="1">Applications!$A$3:$P$23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1" i="5" l="1"/>
  <c r="D11" i="5"/>
  <c r="C11" i="5"/>
  <c r="B11" i="5"/>
  <c r="E9" i="5"/>
  <c r="D9" i="5"/>
  <c r="C9" i="5"/>
  <c r="B9" i="5"/>
  <c r="E8" i="5"/>
  <c r="E7" i="5"/>
  <c r="D7" i="5"/>
  <c r="C7" i="5"/>
  <c r="B7" i="5"/>
  <c r="B6" i="5"/>
  <c r="E5" i="5"/>
  <c r="D5" i="5"/>
  <c r="C5" i="5"/>
  <c r="B5" i="5"/>
  <c r="G10" i="4"/>
  <c r="E10" i="4"/>
  <c r="B10" i="4"/>
  <c r="M23" i="2"/>
  <c r="I23" i="2"/>
  <c r="Q23" i="2" s="1"/>
  <c r="G23" i="2"/>
  <c r="C23" i="2"/>
  <c r="M22" i="2"/>
  <c r="I22" i="2"/>
  <c r="Q22" i="2" s="1"/>
  <c r="G22" i="2"/>
  <c r="C22" i="2"/>
  <c r="M21" i="2"/>
  <c r="I21" i="2"/>
  <c r="Q21" i="2" s="1"/>
  <c r="G21" i="2"/>
  <c r="C21" i="2"/>
  <c r="M20" i="2"/>
  <c r="I20" i="2"/>
  <c r="Q20" i="2" s="1"/>
  <c r="G20" i="2"/>
  <c r="C20" i="2"/>
  <c r="M19" i="2"/>
  <c r="I19" i="2"/>
  <c r="Q19" i="2" s="1"/>
  <c r="G19" i="2"/>
  <c r="C19" i="2"/>
  <c r="M18" i="2"/>
  <c r="E6" i="5" s="1"/>
  <c r="I18" i="2"/>
  <c r="Q18" i="2" s="1"/>
  <c r="G18" i="2"/>
  <c r="C18" i="2"/>
  <c r="M17" i="2"/>
  <c r="I17" i="2"/>
  <c r="Q17" i="2" s="1"/>
  <c r="G17" i="2"/>
  <c r="C17" i="2"/>
  <c r="M16" i="2"/>
  <c r="I16" i="2"/>
  <c r="Q16" i="2" s="1"/>
  <c r="G16" i="2"/>
  <c r="C16" i="2"/>
  <c r="M15" i="2"/>
  <c r="D6" i="5" s="1"/>
  <c r="I15" i="2"/>
  <c r="Q15" i="2" s="1"/>
  <c r="G15" i="2"/>
  <c r="C15" i="2"/>
  <c r="M14" i="2"/>
  <c r="I14" i="2"/>
  <c r="Q14" i="2" s="1"/>
  <c r="G14" i="2"/>
  <c r="C14" i="2"/>
  <c r="M13" i="2"/>
  <c r="I13" i="2"/>
  <c r="Q13" i="2" s="1"/>
  <c r="G13" i="2"/>
  <c r="C13" i="2"/>
  <c r="M12" i="2"/>
  <c r="I12" i="2"/>
  <c r="Q12" i="2" s="1"/>
  <c r="G12" i="2"/>
  <c r="C12" i="2"/>
  <c r="M11" i="2"/>
  <c r="C6" i="5" s="1"/>
  <c r="I11" i="2"/>
  <c r="Q11" i="2" s="1"/>
  <c r="G11" i="2"/>
  <c r="C11" i="2"/>
  <c r="M10" i="2"/>
  <c r="I10" i="2"/>
  <c r="Q10" i="2" s="1"/>
  <c r="G10" i="2"/>
  <c r="C10" i="2"/>
  <c r="M9" i="2"/>
  <c r="I9" i="2"/>
  <c r="Q9" i="2" s="1"/>
  <c r="G9" i="2"/>
  <c r="C9" i="2"/>
  <c r="M8" i="2"/>
  <c r="I8" i="2"/>
  <c r="Q8" i="2" s="1"/>
  <c r="G8" i="2"/>
  <c r="C8" i="2"/>
  <c r="M7" i="2"/>
  <c r="I7" i="2"/>
  <c r="Q7" i="2" s="1"/>
  <c r="G7" i="2"/>
  <c r="C7" i="2"/>
  <c r="M6" i="2"/>
  <c r="I6" i="2"/>
  <c r="G6" i="2"/>
  <c r="C6" i="2"/>
  <c r="R6" i="2" s="1"/>
  <c r="R5" i="2"/>
  <c r="M5" i="2"/>
  <c r="I5" i="2"/>
  <c r="Q5" i="2" s="1"/>
  <c r="G5" i="2"/>
  <c r="C5" i="2"/>
  <c r="R4" i="2"/>
  <c r="M4" i="2"/>
  <c r="I4" i="2"/>
  <c r="Q4" i="2" s="1"/>
  <c r="G4" i="2"/>
  <c r="C4" i="2"/>
  <c r="P21" i="1"/>
  <c r="P20" i="1"/>
  <c r="P19" i="1"/>
  <c r="P18" i="1"/>
  <c r="P17" i="1"/>
  <c r="P16" i="1"/>
  <c r="P15" i="1"/>
  <c r="P14" i="1"/>
  <c r="P11" i="1"/>
  <c r="P10" i="1"/>
  <c r="P9" i="1"/>
  <c r="P8" i="1"/>
  <c r="P7" i="1"/>
  <c r="P6" i="1"/>
  <c r="L6" i="1"/>
  <c r="J6" i="1"/>
  <c r="H6" i="1"/>
  <c r="F6" i="1"/>
  <c r="B6" i="1"/>
  <c r="B3" i="1"/>
  <c r="E10" i="5" l="1"/>
  <c r="D6" i="1"/>
  <c r="E32" i="1"/>
  <c r="H31" i="1"/>
  <c r="F12" i="4"/>
  <c r="C11" i="4"/>
  <c r="D11" i="4"/>
  <c r="B12" i="4"/>
  <c r="G11" i="4"/>
  <c r="C12" i="4"/>
  <c r="F10" i="4"/>
  <c r="B11" i="4"/>
  <c r="D12" i="4"/>
  <c r="E12" i="4"/>
  <c r="B8" i="5"/>
  <c r="B10" i="5" s="1"/>
  <c r="R7" i="2"/>
  <c r="F7" i="4" s="1"/>
  <c r="G12" i="4"/>
  <c r="C8" i="5"/>
  <c r="C10" i="5" s="1"/>
  <c r="H12" i="4"/>
  <c r="D8" i="5"/>
  <c r="D10" i="5" s="1"/>
  <c r="C10" i="4"/>
  <c r="D10" i="4"/>
  <c r="H10" i="4"/>
  <c r="F11" i="4"/>
  <c r="E11" i="4"/>
  <c r="Q6" i="2"/>
  <c r="C30" i="1" s="1"/>
  <c r="H11" i="4"/>
  <c r="E30" i="1" l="1"/>
  <c r="H30" i="1"/>
  <c r="E31" i="1"/>
  <c r="C31" i="1"/>
  <c r="G31" i="1"/>
  <c r="G32" i="1"/>
  <c r="G30" i="1"/>
  <c r="E15" i="4"/>
  <c r="H13" i="4"/>
  <c r="G15" i="4"/>
  <c r="G33" i="1"/>
  <c r="H33" i="1"/>
  <c r="D13" i="4"/>
  <c r="C32" i="1"/>
  <c r="R9" i="2"/>
  <c r="G29" i="1"/>
  <c r="C34" i="1"/>
  <c r="B13" i="4"/>
  <c r="F13" i="4"/>
  <c r="E29" i="1"/>
  <c r="E34" i="1"/>
  <c r="C29" i="1"/>
  <c r="G34" i="1"/>
  <c r="C14" i="4"/>
  <c r="E33" i="1"/>
  <c r="C13" i="4"/>
  <c r="F14" i="4"/>
  <c r="H29" i="1"/>
  <c r="R8" i="2"/>
  <c r="C15" i="4"/>
  <c r="H32" i="1"/>
  <c r="G13" i="4"/>
  <c r="C33" i="1"/>
  <c r="D14" i="4"/>
  <c r="E13" i="4"/>
  <c r="H34" i="1"/>
  <c r="R10" i="2" l="1"/>
  <c r="B16" i="4"/>
  <c r="G14" i="4"/>
  <c r="H15" i="4"/>
  <c r="R11" i="2"/>
  <c r="G16" i="4"/>
  <c r="D16" i="4"/>
  <c r="H14" i="4"/>
  <c r="E16" i="4"/>
  <c r="E14" i="4"/>
  <c r="E17" i="4"/>
  <c r="D15" i="4"/>
  <c r="F15" i="4"/>
  <c r="B14" i="4"/>
  <c r="B15" i="4"/>
  <c r="F17" i="4" l="1"/>
  <c r="C17" i="4"/>
  <c r="F16" i="4"/>
  <c r="H17" i="4"/>
  <c r="D17" i="4"/>
  <c r="R12" i="2"/>
  <c r="H16" i="4"/>
  <c r="C16" i="4"/>
  <c r="G17" i="4"/>
  <c r="B17" i="4"/>
  <c r="F19" i="4" l="1"/>
  <c r="H18" i="4"/>
  <c r="D18" i="4"/>
  <c r="F18" i="4"/>
  <c r="R13" i="2"/>
  <c r="B18" i="4"/>
  <c r="E19" i="4"/>
  <c r="E18" i="4"/>
  <c r="D19" i="4"/>
  <c r="B19" i="4"/>
  <c r="C18" i="4"/>
  <c r="G18" i="4"/>
  <c r="R14" i="2" l="1"/>
  <c r="C19" i="4"/>
  <c r="G19" i="4"/>
  <c r="H19" i="4"/>
  <c r="R15" i="2" l="1"/>
  <c r="R16" i="2" s="1"/>
  <c r="R17" i="2" s="1"/>
  <c r="R18" i="2" s="1"/>
  <c r="R19" i="2" s="1"/>
  <c r="R20" i="2" s="1"/>
  <c r="R21" i="2" s="1"/>
  <c r="R22" i="2" s="1"/>
  <c r="R23" i="2" s="1"/>
  <c r="C20" i="4"/>
  <c r="E21" i="4"/>
  <c r="D21" i="4"/>
  <c r="H22" i="4"/>
  <c r="F23" i="4"/>
  <c r="G21" i="4"/>
  <c r="H20" i="4"/>
  <c r="D20" i="4"/>
  <c r="B23" i="4"/>
  <c r="G22" i="4"/>
  <c r="F24" i="4"/>
  <c r="B25" i="4" l="1"/>
  <c r="C36" i="4"/>
  <c r="B29" i="4"/>
  <c r="E20" i="4"/>
  <c r="D27" i="4"/>
  <c r="F25" i="4"/>
  <c r="F27" i="4"/>
  <c r="B26" i="4"/>
  <c r="E28" i="4"/>
  <c r="F21" i="4"/>
  <c r="F28" i="4"/>
  <c r="C23" i="4"/>
  <c r="G29" i="4"/>
  <c r="E24" i="4"/>
  <c r="D23" i="4"/>
  <c r="G24" i="4"/>
  <c r="C34" i="4"/>
  <c r="G20" i="4"/>
  <c r="D28" i="4"/>
  <c r="B22" i="4"/>
  <c r="C37" i="4"/>
  <c r="F22" i="4"/>
  <c r="E23" i="4"/>
  <c r="C22" i="4"/>
  <c r="B24" i="4"/>
  <c r="H24" i="4"/>
  <c r="C26" i="4"/>
  <c r="F20" i="4"/>
  <c r="F4" i="4"/>
  <c r="D29" i="4"/>
  <c r="E22" i="4"/>
  <c r="B20" i="4"/>
  <c r="B21" i="4"/>
  <c r="C32" i="4"/>
  <c r="C35" i="4"/>
  <c r="H23" i="4"/>
  <c r="C27" i="4"/>
  <c r="H27" i="4"/>
  <c r="C24" i="4"/>
  <c r="D24" i="4"/>
  <c r="C21" i="4"/>
  <c r="H26" i="4"/>
  <c r="D26" i="4"/>
  <c r="C25" i="4"/>
  <c r="C28" i="4"/>
  <c r="G23" i="4"/>
  <c r="F26" i="4"/>
  <c r="H21" i="4"/>
  <c r="H28" i="4"/>
  <c r="C29" i="4"/>
  <c r="G25" i="4"/>
  <c r="E29" i="4"/>
  <c r="D22" i="4"/>
  <c r="E27" i="4"/>
  <c r="B27" i="4"/>
  <c r="E26" i="4"/>
  <c r="E25" i="4"/>
  <c r="F29" i="4"/>
  <c r="G27" i="4"/>
  <c r="H25" i="4"/>
  <c r="C33" i="4"/>
  <c r="G28" i="4"/>
  <c r="B28" i="4"/>
  <c r="D25" i="4"/>
  <c r="G26" i="4"/>
  <c r="H29" i="4"/>
  <c r="F6" i="4" l="1"/>
  <c r="F5" i="4"/>
</calcChain>
</file>

<file path=xl/sharedStrings.xml><?xml version="1.0" encoding="utf-8"?>
<sst xmlns="http://schemas.openxmlformats.org/spreadsheetml/2006/main" count="521" uniqueCount="279">
  <si>
    <t>ApplyAbroadLab.com — Application Tracker Pro</t>
  </si>
  <si>
    <t>Apply Abroad Lab — Application Tracker Pro</t>
  </si>
  <si>
    <t>Chart data (auto)</t>
  </si>
  <si>
    <t>TOTAL APPLICATIONS</t>
  </si>
  <si>
    <t>NEAREST DEADLINE (DAYS)</t>
  </si>
  <si>
    <t>HIGH PRIORITY OPEN</t>
  </si>
  <si>
    <t>COMPLETION RATE</t>
  </si>
  <si>
    <t>ACCEPTED</t>
  </si>
  <si>
    <t>AVG. RESEARCH FIT</t>
  </si>
  <si>
    <t>Status</t>
  </si>
  <si>
    <t>Count</t>
  </si>
  <si>
    <t>Not Started</t>
  </si>
  <si>
    <t>In Progress</t>
  </si>
  <si>
    <t>APPLICATION STATUS</t>
  </si>
  <si>
    <t>APPLICATIONS BY COUNTRY</t>
  </si>
  <si>
    <t>SHORTLIST COMPARISON</t>
  </si>
  <si>
    <t>Submitted</t>
  </si>
  <si>
    <t>Interview</t>
  </si>
  <si>
    <t>Accepted</t>
  </si>
  <si>
    <t>Rejected</t>
  </si>
  <si>
    <t>Country</t>
  </si>
  <si>
    <t>Belgium</t>
  </si>
  <si>
    <t>Canada</t>
  </si>
  <si>
    <t>Germany</t>
  </si>
  <si>
    <t>Italy</t>
  </si>
  <si>
    <t>Netherlands</t>
  </si>
  <si>
    <t>Norway</t>
  </si>
  <si>
    <t>Sweden</t>
  </si>
  <si>
    <t>Switzerland</t>
  </si>
  <si>
    <t>UPCOMING DEADLINES (NEXT 30 DAYS)</t>
  </si>
  <si>
    <t>QUICK NAVIGATION</t>
  </si>
  <si>
    <t>#</t>
  </si>
  <si>
    <t>University</t>
  </si>
  <si>
    <t>Program</t>
  </si>
  <si>
    <t>Deadline</t>
  </si>
  <si>
    <t>Days</t>
  </si>
  <si>
    <t>▶  Applications</t>
  </si>
  <si>
    <t>▶  Universities &amp; Supervisors</t>
  </si>
  <si>
    <t>▶  Explorer (interactive filter)</t>
  </si>
  <si>
    <t>▶  Scoring (radar inputs)</t>
  </si>
  <si>
    <t>▶  How It Works</t>
  </si>
  <si>
    <t>Tip: every underlined number or name on this page is a link — one click opens the source row. If a linked cell is already selected, a second click enters edit mode; press Esc to leave it.</t>
  </si>
  <si>
    <t>CONNECT WITH APPLY ABROAD LAB</t>
  </si>
  <si>
    <t>Website:</t>
  </si>
  <si>
    <t>https://applyabroadlab.com/</t>
  </si>
  <si>
    <t>LinkedIn:</t>
  </si>
  <si>
    <t>Apply Abroad Lab</t>
  </si>
  <si>
    <t>Support:</t>
  </si>
  <si>
    <t>via website or LinkedIn</t>
  </si>
  <si>
    <t>Main tracker — edit the white columns. Grey columns (Country, Supervisor, Funding, Days Until Deadline) are calculated automatically.</t>
  </si>
  <si>
    <t>◀ Back to Dashboard</t>
  </si>
  <si>
    <t>ID</t>
  </si>
  <si>
    <t>Field</t>
  </si>
  <si>
    <t>Level</t>
  </si>
  <si>
    <t>Supervisor</t>
  </si>
  <si>
    <t>Days Until Deadline</t>
  </si>
  <si>
    <t>Priority</t>
  </si>
  <si>
    <t>Research Fit (1-10)</t>
  </si>
  <si>
    <t>Funding Type</t>
  </si>
  <si>
    <t>Documents Ready (%)</t>
  </si>
  <si>
    <t>Last Contact</t>
  </si>
  <si>
    <t>Notes</t>
  </si>
  <si>
    <t>Upcoming Key</t>
  </si>
  <si>
    <t>Match Index</t>
  </si>
  <si>
    <t>Technical University of Munich</t>
  </si>
  <si>
    <t>PhD in Computational Biology</t>
  </si>
  <si>
    <t>Computational Biology</t>
  </si>
  <si>
    <t>PhD</t>
  </si>
  <si>
    <t>High</t>
  </si>
  <si>
    <t>Supervisor confirmed interest; finalise research proposal</t>
  </si>
  <si>
    <t>Heidelberg University</t>
  </si>
  <si>
    <t>PhD in Molecular Oncology (DKFZ)</t>
  </si>
  <si>
    <t>Molecular Oncology</t>
  </si>
  <si>
    <t>Two LORs received, third pending</t>
  </si>
  <si>
    <t>RWTH Aachen University</t>
  </si>
  <si>
    <t>PhD in Mechanical Engineering</t>
  </si>
  <si>
    <t>Mechanical Engineering</t>
  </si>
  <si>
    <t>Medium</t>
  </si>
  <si>
    <t>Need to email supervisor before drafting SOP</t>
  </si>
  <si>
    <t>Delft University of Technology</t>
  </si>
  <si>
    <t>PhD in Structural Engineering</t>
  </si>
  <si>
    <t>Civil Engineering</t>
  </si>
  <si>
    <t>Submitted via portal; acknowledgement received</t>
  </si>
  <si>
    <t>University of Amsterdam</t>
  </si>
  <si>
    <t>PhD in Clinical Psychology</t>
  </si>
  <si>
    <t>Psychology</t>
  </si>
  <si>
    <t>Interview scheduled 28 Sep, prepare 10-min presentation</t>
  </si>
  <si>
    <t>Wageningen University</t>
  </si>
  <si>
    <t>PhD in Food Biotechnology</t>
  </si>
  <si>
    <t>Food Biotechnology</t>
  </si>
  <si>
    <t>Supervisor asked for detailed CV</t>
  </si>
  <si>
    <t>Utrecht University</t>
  </si>
  <si>
    <t>PhD in Developmental Biology</t>
  </si>
  <si>
    <t>Biology</t>
  </si>
  <si>
    <t>Low</t>
  </si>
  <si>
    <t>Backup option</t>
  </si>
  <si>
    <t>Karolinska Institutet</t>
  </si>
  <si>
    <t>Postdoc in Cancer Biology</t>
  </si>
  <si>
    <t>Cancer Biology</t>
  </si>
  <si>
    <t>Postdoc</t>
  </si>
  <si>
    <t>Strong fit; awaiting shortlist</t>
  </si>
  <si>
    <t>KTH Royal Institute of Technology</t>
  </si>
  <si>
    <t>PhD in Machine Learning (WASP)</t>
  </si>
  <si>
    <t>Computer Science</t>
  </si>
  <si>
    <t>Coding sample required</t>
  </si>
  <si>
    <t>Lund University</t>
  </si>
  <si>
    <t>PhD in Analytical Chemistry</t>
  </si>
  <si>
    <t>Chemistry</t>
  </si>
  <si>
    <t>Draft SOP version 2 in progress</t>
  </si>
  <si>
    <t>Politecnico di Milano</t>
  </si>
  <si>
    <t>PhD in Architecture &amp; Urban Design</t>
  </si>
  <si>
    <t>Architecture</t>
  </si>
  <si>
    <t>Check scholarship eligibility</t>
  </si>
  <si>
    <t>University of Bologna</t>
  </si>
  <si>
    <t>PhD in Management</t>
  </si>
  <si>
    <t>Business &amp; Management</t>
  </si>
  <si>
    <t>Portfolio of publications needed</t>
  </si>
  <si>
    <t>KU Leuven</t>
  </si>
  <si>
    <t>PhD in Organic Chemistry</t>
  </si>
  <si>
    <t>FWO fellowship co-application</t>
  </si>
  <si>
    <t>Ghent University</t>
  </si>
  <si>
    <t>PhD in Plant Biology</t>
  </si>
  <si>
    <t>Submitted; reference letters uploaded</t>
  </si>
  <si>
    <t>ETH Zurich</t>
  </si>
  <si>
    <t>PhD in Computer Science</t>
  </si>
  <si>
    <t>Very competitive; prioritise supervisor outreach</t>
  </si>
  <si>
    <t>EPFL</t>
  </si>
  <si>
    <t>Postdoc in Robotics</t>
  </si>
  <si>
    <t>Waiting on supervisor reply about SNSF budget</t>
  </si>
  <si>
    <t>NTNU</t>
  </si>
  <si>
    <t>PhD in Geotechnical Engineering</t>
  </si>
  <si>
    <t>Interview 30 Sep, technical questions expected</t>
  </si>
  <si>
    <t>University of Oslo</t>
  </si>
  <si>
    <t>PhD in Cognitive Psychology</t>
  </si>
  <si>
    <t>Second-round interview</t>
  </si>
  <si>
    <t>University of Toronto</t>
  </si>
  <si>
    <t>PhD in Marketing</t>
  </si>
  <si>
    <t>Marketing</t>
  </si>
  <si>
    <t>Rejected on funding grounds; keep contact</t>
  </si>
  <si>
    <t>McGill University</t>
  </si>
  <si>
    <t>Offer received; decision pending</t>
  </si>
  <si>
    <t>Reference table — one row per university / supervisor. Applications pull Country, Supervisor and Funding from here automatically.</t>
  </si>
  <si>
    <t>City</t>
  </si>
  <si>
    <t>Research Area</t>
  </si>
  <si>
    <t>Prestige (1-10)</t>
  </si>
  <si>
    <t>Responsiveness (1-10)</t>
  </si>
  <si>
    <t>Contact Status</t>
  </si>
  <si>
    <t>Website</t>
  </si>
  <si>
    <t>Munich</t>
  </si>
  <si>
    <t>Prof. Lena Hartmann</t>
  </si>
  <si>
    <t>Fully funded (DFG)</t>
  </si>
  <si>
    <t>Replied</t>
  </si>
  <si>
    <t>https://www.tum.de</t>
  </si>
  <si>
    <t>Heidelberg</t>
  </si>
  <si>
    <t>Prof. Jonas Weber</t>
  </si>
  <si>
    <t>Fully funded (DKFZ)</t>
  </si>
  <si>
    <t>Awaiting reply</t>
  </si>
  <si>
    <t>https://www.uni-heidelberg.de</t>
  </si>
  <si>
    <t>Aachen</t>
  </si>
  <si>
    <t>Prof. Katrin Vogel</t>
  </si>
  <si>
    <t>Fully funded (Institute)</t>
  </si>
  <si>
    <t>Not contacted</t>
  </si>
  <si>
    <t>https://www.rwth-aachen.de</t>
  </si>
  <si>
    <t>Delft</t>
  </si>
  <si>
    <t>Dr. Pieter de Vries</t>
  </si>
  <si>
    <t>Fully funded (University)</t>
  </si>
  <si>
    <t>https://www.tudelft.nl</t>
  </si>
  <si>
    <t>Amsterdam</t>
  </si>
  <si>
    <t>Dr. Sanne Bakker</t>
  </si>
  <si>
    <t>Fully funded (NWO)</t>
  </si>
  <si>
    <t>Interview scheduled</t>
  </si>
  <si>
    <t>https://www.uva.nl</t>
  </si>
  <si>
    <t>Wageningen</t>
  </si>
  <si>
    <t>Prof. Joris van Dijk</t>
  </si>
  <si>
    <t>https://www.wur.nl</t>
  </si>
  <si>
    <t>Utrecht</t>
  </si>
  <si>
    <t>Dr. Femke Jansen</t>
  </si>
  <si>
    <t>https://www.uu.nl</t>
  </si>
  <si>
    <t>Stockholm</t>
  </si>
  <si>
    <t>Prof. Anna Lindqvist</t>
  </si>
  <si>
    <t>Fully funded (KI)</t>
  </si>
  <si>
    <t>https://ki.se</t>
  </si>
  <si>
    <t>Dr. Erik Johansson</t>
  </si>
  <si>
    <t>Fully funded (WASP)</t>
  </si>
  <si>
    <t>https://www.kth.se</t>
  </si>
  <si>
    <t>Lund</t>
  </si>
  <si>
    <t>Prof. Karin Svensson</t>
  </si>
  <si>
    <t>https://www.lu.se</t>
  </si>
  <si>
    <t>Milan</t>
  </si>
  <si>
    <t>Prof. Giulia Ferrari</t>
  </si>
  <si>
    <t>Scholarship (Regional)</t>
  </si>
  <si>
    <t>https://www.polimi.it</t>
  </si>
  <si>
    <t>Bologna</t>
  </si>
  <si>
    <t>Prof. Marco Rossi</t>
  </si>
  <si>
    <t>Scholarship (University)</t>
  </si>
  <si>
    <t>https://www.unibo.it</t>
  </si>
  <si>
    <t>Leuven</t>
  </si>
  <si>
    <t>Prof. Bram Peeters</t>
  </si>
  <si>
    <t>Fully funded (FWO)</t>
  </si>
  <si>
    <t>https://www.kuleuven.be</t>
  </si>
  <si>
    <t>Ghent</t>
  </si>
  <si>
    <t>Dr. Elise Claes</t>
  </si>
  <si>
    <t>Fully funded (BOF)</t>
  </si>
  <si>
    <t>https://www.ugent.be</t>
  </si>
  <si>
    <t>Zurich</t>
  </si>
  <si>
    <t>Prof. Daniel Meier</t>
  </si>
  <si>
    <t>Fully funded (ETH)</t>
  </si>
  <si>
    <t>https://ethz.ch</t>
  </si>
  <si>
    <t>Lausanne</t>
  </si>
  <si>
    <t>Dr. Claire Dubois</t>
  </si>
  <si>
    <t>Fully funded (SNSF)</t>
  </si>
  <si>
    <t>https://www.epfl.ch</t>
  </si>
  <si>
    <t>Trondheim</t>
  </si>
  <si>
    <t>Prof. Ola Nilsen</t>
  </si>
  <si>
    <t>https://www.ntnu.edu</t>
  </si>
  <si>
    <t>Oslo</t>
  </si>
  <si>
    <t>Dr. Ingrid Haugen</t>
  </si>
  <si>
    <t>https://www.uio.no</t>
  </si>
  <si>
    <t>Toronto</t>
  </si>
  <si>
    <t>Prof. Sarah Mitchell</t>
  </si>
  <si>
    <t>Partially funded</t>
  </si>
  <si>
    <t>https://www.utoronto.ca</t>
  </si>
  <si>
    <t>Montreal</t>
  </si>
  <si>
    <t>Dr. Olivier Tremblay</t>
  </si>
  <si>
    <t>Fully funded (CIHR)</t>
  </si>
  <si>
    <t>https://www.mcgill.ca</t>
  </si>
  <si>
    <t>Interactive filter — change the three yellow selectors and the list, KPIs and chart update instantly.</t>
  </si>
  <si>
    <t>All</t>
  </si>
  <si>
    <t>Matching applications</t>
  </si>
  <si>
    <t>Average research fit</t>
  </si>
  <si>
    <t>Average documents ready</t>
  </si>
  <si>
    <t>Nearest deadline (days)</t>
  </si>
  <si>
    <t>Status (selection)</t>
  </si>
  <si>
    <t>Shortlist comparison — pick up to 4 universities in the yellow cells. All axes are normalised to 0-10 so the radar shape is comparable.</t>
  </si>
  <si>
    <t>Axis</t>
  </si>
  <si>
    <t>Shortlist 1</t>
  </si>
  <si>
    <t>Shortlist 2</t>
  </si>
  <si>
    <t>Shortlist 3</t>
  </si>
  <si>
    <t>Shortlist 4</t>
  </si>
  <si>
    <t>Scoring rule</t>
  </si>
  <si>
    <t>Research Fit</t>
  </si>
  <si>
    <t>Research Fit column of the application, already on a 1-10 scale</t>
  </si>
  <si>
    <t>Funding Strength</t>
  </si>
  <si>
    <t>Fully funded = 10, Scholarship = 7, Partially funded = 6</t>
  </si>
  <si>
    <t>Prestige</t>
  </si>
  <si>
    <t>Prestige score from the Universities sheet (1-10)</t>
  </si>
  <si>
    <t>Deadline Urgency</t>
  </si>
  <si>
    <t>10 = deadline now, minus 1 point per 20 days away, floor 0</t>
  </si>
  <si>
    <t>Supervisor Responsiveness</t>
  </si>
  <si>
    <t>Responsiveness score from the Universities sheet (1-10)</t>
  </si>
  <si>
    <t>Overall (average)</t>
  </si>
  <si>
    <t>Open university record</t>
  </si>
  <si>
    <t>How It Works</t>
  </si>
  <si>
    <t>What this is</t>
  </si>
  <si>
    <t>A single-file application tracker for Master's, PhD and Postdoc campaigns. Everything on the Dashboard is calculated live from the Applications sheet.</t>
  </si>
  <si>
    <t>Data model</t>
  </si>
  <si>
    <t>Two tables. Applications = one row per application (the fact table). Universities &amp; Supervisors = one row per institution (the reference table). Applications pull Country, Supervisor and Funding from the reference table by University name, so a fact is entered once and reused everywhere.</t>
  </si>
  <si>
    <t>What is automated</t>
  </si>
  <si>
    <t>Days-until-deadline countdown with red/orange/green alerts, six live KPI cards, status pie chart, country bar chart, 4-way shortlist radar chart, upcoming-deadline list (next 30 days), interactive Explorer filter, and the shortlist scoring table.</t>
  </si>
  <si>
    <t>Adding an application</t>
  </si>
  <si>
    <t>Go to Applications, type in the next empty row: pick University from the dropdown (Country, Supervisor and Funding fill in automatically), enter Program, Field, Level, Deadline, Status, Priority, Research Fit and Documents Ready. Takes about 60 seconds.</t>
  </si>
  <si>
    <t>Adding a university</t>
  </si>
  <si>
    <t>Add a row to Universities &amp; Supervisors with its Prestige and Responsiveness scores. It becomes selectable in Applications and Scoring immediately.</t>
  </si>
  <si>
    <t>Comparing a shortlist</t>
  </si>
  <si>
    <t>Open Scoring, pick up to four universities in the yellow cells. Every axis is normalised to 0-10 (see the rule next to each axis) so the radar shape is a fair comparison. The same radar appears on the Dashboard.</t>
  </si>
  <si>
    <t>Filtering</t>
  </si>
  <si>
    <t>Open Explorer and change Country, Status or Priority. The matching list, the selection KPIs and the status chart update instantly. Set a selector back to All to clear it.</t>
  </si>
  <si>
    <t>Data quality rules</t>
  </si>
  <si>
    <t>Status, Priority, Level, Field and University are dropdown-only, Research Fit accepts 1-10 only. This keeps every chart and KPI reliable.</t>
  </si>
  <si>
    <t>Before recording a demo</t>
  </si>
  <si>
    <t>Deadlines are fixed dates. If you record later, shift a few deadlines into the next 30 days so the Upcoming Deadlines list and the red alerts are visible.</t>
  </si>
  <si>
    <t>Navigation &amp; links</t>
  </si>
  <si>
    <t>Underlined numbers and names are links. One click on a link opens the source row (KPI cards and chart-data labels open the Applications sheet; deadline and Explorer rows open the exact application; Scoring and the Supervisor column open the university record). Every sheet has a Back to Dashboard link at the top right. Excel rule: if a linked cell is already the selected cell, clicking it again enters edit mode instead of following the link — press Esc, click any other cell, then click the link once.</t>
  </si>
  <si>
    <t>Built with</t>
  </si>
  <si>
    <t>Python (openpyxl) generating native Excel formulas, validation, conditional formatting and chart objects. No macros, no external connections, works offline in Excel 2016 or later.</t>
  </si>
  <si>
    <t>Country+All</t>
  </si>
  <si>
    <t>Status+All</t>
  </si>
  <si>
    <t>Priority+All</t>
  </si>
  <si>
    <t>Master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</si>
</sst>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25" x14ac:knownFonts="1">
    <font>
      <sz val="11"/>
      <color theme="1"/>
      <name val="Calibri"/>
      <family val="2"/>
      <charset val="1"/>
    </font>
    <font>
      <b/>
      <u/>
      <sz val="11"/>
      <color rgb="FFFFFFFF"/>
      <name val="Arial"/>
      <charset val="1"/>
    </font>
    <font>
      <b/>
      <sz val="20"/>
      <color rgb="FFFFFFFF"/>
      <name val="Arial"/>
      <charset val="1"/>
    </font>
    <font>
      <i/>
      <sz val="10"/>
      <color rgb="FF5F5E5A"/>
      <name val="Arial"/>
      <charset val="1"/>
    </font>
    <font>
      <b/>
      <sz val="9"/>
      <color rgb="FF5F5E5A"/>
      <name val="Arial"/>
      <charset val="1"/>
    </font>
    <font>
      <sz val="9"/>
      <color rgb="FF5F5E5A"/>
      <name val="Arial"/>
      <charset val="1"/>
    </font>
    <font>
      <b/>
      <u/>
      <sz val="24"/>
      <color rgb="FF12213D"/>
      <name val="Arial"/>
      <charset val="1"/>
    </font>
    <font>
      <b/>
      <u/>
      <sz val="24"/>
      <color rgb="FF0E7C66"/>
      <name val="Arial"/>
      <charset val="1"/>
    </font>
    <font>
      <u/>
      <sz val="9"/>
      <color rgb="FF5F5E5A"/>
      <name val="Arial"/>
      <charset val="1"/>
    </font>
    <font>
      <b/>
      <sz val="10"/>
      <color rgb="FF12213D"/>
      <name val="Arial"/>
      <charset val="1"/>
    </font>
    <font>
      <b/>
      <sz val="9"/>
      <color rgb="FFFFFFFF"/>
      <name val="Arial"/>
      <charset val="1"/>
    </font>
    <font>
      <sz val="9"/>
      <color rgb="FF000000"/>
      <name val="Arial"/>
      <charset val="1"/>
    </font>
    <font>
      <u/>
      <sz val="9"/>
      <color rgb="FF1565C0"/>
      <name val="Arial"/>
      <charset val="1"/>
    </font>
    <font>
      <b/>
      <u/>
      <sz val="10"/>
      <color rgb="FFFFFFFF"/>
      <name val="Arial"/>
      <charset val="1"/>
    </font>
    <font>
      <i/>
      <sz val="9"/>
      <color rgb="FF5F5E5A"/>
      <name val="Arial"/>
      <charset val="1"/>
    </font>
    <font>
      <b/>
      <sz val="9"/>
      <color rgb="FF12213D"/>
      <name val="Arial"/>
      <charset val="1"/>
    </font>
    <font>
      <b/>
      <u/>
      <sz val="9"/>
      <color rgb="FF1565C0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u/>
      <sz val="10"/>
      <color rgb="FF1565C0"/>
      <name val="Arial"/>
      <charset val="1"/>
    </font>
    <font>
      <b/>
      <sz val="10"/>
      <color rgb="FF000000"/>
      <name val="Arial"/>
      <charset val="1"/>
    </font>
    <font>
      <b/>
      <sz val="12"/>
      <color rgb="FF12213D"/>
      <name val="Arial"/>
      <charset val="1"/>
    </font>
    <font>
      <b/>
      <sz val="16"/>
      <color rgb="FF12213D"/>
      <name val="Arial"/>
      <charset val="1"/>
    </font>
    <font>
      <b/>
      <u/>
      <sz val="10"/>
      <color rgb="FF1565C0"/>
      <name val="Arial"/>
      <charset val="1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2213D"/>
        <bgColor rgb="FF003300"/>
      </patternFill>
    </fill>
    <fill>
      <patternFill patternType="solid">
        <fgColor rgb="FFF4F6FA"/>
        <bgColor rgb="FFF9F9F9"/>
      </patternFill>
    </fill>
    <fill>
      <patternFill patternType="solid">
        <fgColor rgb="FFE1F5EE"/>
        <bgColor rgb="FFEAF3DE"/>
      </patternFill>
    </fill>
    <fill>
      <patternFill patternType="solid">
        <fgColor rgb="FFFFF9C4"/>
        <bgColor rgb="FFFFF4E0"/>
      </patternFill>
    </fill>
  </fills>
  <borders count="2">
    <border>
      <left/>
      <right/>
      <top/>
      <bottom/>
      <diagonal/>
    </border>
    <border>
      <left style="thin">
        <color rgb="FFD0D4DC"/>
      </left>
      <right style="thin">
        <color rgb="FFD0D4DC"/>
      </right>
      <top style="thin">
        <color rgb="FFD0D4DC"/>
      </top>
      <bottom style="thin">
        <color rgb="FFD0D4DC"/>
      </bottom>
      <diagonal/>
    </border>
  </borders>
  <cellStyleXfs count="2">
    <xf numFmtId="0" fontId="0" fillId="0" borderId="0"/>
    <xf numFmtId="0" fontId="24" fillId="0" borderId="0" applyNumberFormat="0" applyFill="0" applyBorder="0" applyAlignment="0" applyProtection="0"/>
  </cellStyleXfs>
  <cellXfs count="54">
    <xf numFmtId="0" fontId="0" fillId="0" borderId="0" xfId="0"/>
    <xf numFmtId="0" fontId="14" fillId="0" borderId="0" xfId="0" applyFont="1" applyBorder="1"/>
    <xf numFmtId="0" fontId="13" fillId="2" borderId="0" xfId="0" applyFont="1" applyFill="1" applyBorder="1" applyAlignment="1">
      <alignment horizontal="left" vertical="center" indent="1"/>
    </xf>
    <xf numFmtId="0" fontId="11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0" fillId="2" borderId="0" xfId="0" applyFont="1" applyFill="1" applyBorder="1" applyAlignment="1">
      <alignment horizontal="center" vertical="center" wrapText="1"/>
    </xf>
    <xf numFmtId="0" fontId="9" fillId="0" borderId="0" xfId="0" applyFont="1" applyBorder="1"/>
    <xf numFmtId="0" fontId="9" fillId="0" borderId="0" xfId="0" applyFont="1" applyBorder="1" applyAlignment="1">
      <alignment horizontal="left" vertical="center"/>
    </xf>
    <xf numFmtId="9" fontId="6" fillId="3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left" vertical="center" indent="1"/>
    </xf>
    <xf numFmtId="0" fontId="2" fillId="2" borderId="0" xfId="0" applyFont="1" applyFill="1" applyBorder="1" applyAlignment="1">
      <alignment horizontal="left" vertical="center" indent="1"/>
    </xf>
    <xf numFmtId="0" fontId="1" fillId="2" borderId="0" xfId="0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5" fillId="0" borderId="0" xfId="0" applyFont="1"/>
    <xf numFmtId="0" fontId="17" fillId="2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0" fontId="19" fillId="3" borderId="1" xfId="0" applyFont="1" applyFill="1" applyBorder="1" applyAlignment="1">
      <alignment horizontal="center" vertical="center" wrapText="1"/>
    </xf>
    <xf numFmtId="164" fontId="18" fillId="0" borderId="1" xfId="0" applyNumberFormat="1" applyFont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/>
    </xf>
    <xf numFmtId="0" fontId="20" fillId="4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20" fillId="0" borderId="0" xfId="0" applyFont="1"/>
    <xf numFmtId="0" fontId="18" fillId="0" borderId="0" xfId="0" applyFont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22" fillId="0" borderId="0" xfId="0" applyFont="1"/>
    <xf numFmtId="0" fontId="16" fillId="0" borderId="0" xfId="0" applyFont="1" applyAlignment="1">
      <alignment horizontal="right" vertical="center"/>
    </xf>
    <xf numFmtId="0" fontId="9" fillId="0" borderId="0" xfId="0" applyFont="1"/>
    <xf numFmtId="0" fontId="18" fillId="0" borderId="1" xfId="0" applyFont="1" applyBorder="1" applyAlignment="1">
      <alignment horizontal="left" vertical="top" wrapText="1"/>
    </xf>
    <xf numFmtId="0" fontId="23" fillId="4" borderId="1" xfId="0" applyFont="1" applyFill="1" applyBorder="1" applyAlignment="1">
      <alignment horizontal="left" vertical="top"/>
    </xf>
    <xf numFmtId="0" fontId="12" fillId="0" borderId="0" xfId="0" applyFont="1" applyBorder="1" applyAlignment="1">
      <alignment horizontal="left" vertical="center"/>
    </xf>
    <xf numFmtId="0" fontId="11" fillId="0" borderId="0" xfId="0" applyFont="1" applyBorder="1" applyAlignment="1">
      <alignment horizontal="left" vertical="center"/>
    </xf>
    <xf numFmtId="0" fontId="16" fillId="0" borderId="0" xfId="0" applyFont="1" applyBorder="1" applyAlignment="1">
      <alignment horizontal="right" vertical="center"/>
    </xf>
    <xf numFmtId="0" fontId="21" fillId="0" borderId="1" xfId="0" applyFont="1" applyBorder="1" applyAlignment="1">
      <alignment horizontal="center" vertical="center" wrapText="1"/>
    </xf>
    <xf numFmtId="9" fontId="21" fillId="0" borderId="1" xfId="0" applyNumberFormat="1" applyFont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left" vertical="center" wrapText="1"/>
    </xf>
    <xf numFmtId="0" fontId="24" fillId="0" borderId="0" xfId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16">
    <dxf>
      <font>
        <color rgb="FFFFFFFF"/>
      </font>
    </dxf>
    <dxf>
      <font>
        <b/>
        <color rgb="FFE68A00"/>
      </font>
    </dxf>
    <dxf>
      <font>
        <b/>
        <color rgb="FFC62828"/>
      </font>
    </dxf>
    <dxf>
      <font>
        <b/>
        <color rgb="FF2E7D32"/>
      </font>
    </dxf>
    <dxf>
      <font>
        <b/>
        <color rgb="FFC62828"/>
      </font>
    </dxf>
    <dxf>
      <fill>
        <patternFill>
          <bgColor rgb="FFEEEEEE"/>
        </patternFill>
      </fill>
    </dxf>
    <dxf>
      <fill>
        <patternFill>
          <bgColor rgb="FFE1F5EE"/>
        </patternFill>
      </fill>
    </dxf>
    <dxf>
      <fill>
        <patternFill>
          <bgColor rgb="FFBBDEFB"/>
        </patternFill>
      </fill>
    </dxf>
    <dxf>
      <fill>
        <patternFill>
          <bgColor rgb="FFFFCDD2"/>
        </patternFill>
      </fill>
    </dxf>
    <dxf>
      <fill>
        <patternFill>
          <bgColor rgb="FFC8E6C9"/>
        </patternFill>
      </fill>
    </dxf>
    <dxf>
      <font>
        <color rgb="FF2E7D32"/>
      </font>
      <fill>
        <patternFill>
          <bgColor rgb="FFEAF3DE"/>
        </patternFill>
      </fill>
    </dxf>
    <dxf>
      <font>
        <b/>
        <color rgb="FFE68A00"/>
      </font>
      <fill>
        <patternFill>
          <bgColor rgb="FFFFF4E0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color rgb="FF9E9E9E"/>
      </font>
      <fill>
        <patternFill>
          <bgColor rgb="FFEEEEEE"/>
        </patternFill>
      </fill>
    </dxf>
    <dxf>
      <font>
        <color rgb="FFFFFFFF"/>
      </font>
    </dxf>
    <dxf>
      <font>
        <b/>
        <color rgb="FFC62828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EEEEEE"/>
      <rgbColor rgb="FFFF00FF"/>
      <rgbColor rgb="FF00FFFF"/>
      <rgbColor rgb="FF800000"/>
      <rgbColor rgb="FF639922"/>
      <rgbColor rgb="FF000080"/>
      <rgbColor rgb="FF779637"/>
      <rgbColor rgb="FF800080"/>
      <rgbColor rgb="FF0E7C66"/>
      <rgbColor rgb="FFB4B2A9"/>
      <rgbColor rgb="FF878787"/>
      <rgbColor rgb="FF378ADD"/>
      <rgbColor rgb="FFC62828"/>
      <rgbColor rgb="FFFFF9C4"/>
      <rgbColor rgb="FFE1F5EE"/>
      <rgbColor rgb="FF660066"/>
      <rgbColor rgb="FFBBDEFB"/>
      <rgbColor rgb="FF1565C0"/>
      <rgbColor rgb="FFD0D4DC"/>
      <rgbColor rgb="FF000080"/>
      <rgbColor rgb="FFFF00FF"/>
      <rgbColor rgb="FFF9F9F9"/>
      <rgbColor rgb="FF00FFFF"/>
      <rgbColor rgb="FF800080"/>
      <rgbColor rgb="FF800000"/>
      <rgbColor rgb="FF2E5F99"/>
      <rgbColor rgb="FF0000FF"/>
      <rgbColor rgb="FF00CCFF"/>
      <rgbColor rgb="FFEAF3DE"/>
      <rgbColor rgb="FFC8E6C9"/>
      <rgbColor rgb="FFFFF4E0"/>
      <rgbColor rgb="FF99CCFF"/>
      <rgbColor rgb="FFFDECEA"/>
      <rgbColor rgb="FFD9D9D9"/>
      <rgbColor rgb="FFFFCDD2"/>
      <rgbColor rgb="FF397BCA"/>
      <rgbColor rgb="FF35C6E8"/>
      <rgbColor rgb="FF9CC745"/>
      <rgbColor rgb="FFF4F6FA"/>
      <rgbColor rgb="FFE68A00"/>
      <rgbColor rgb="FFD85A30"/>
      <rgbColor rgb="FF7B57A7"/>
      <rgbColor rgb="FF9E9E9E"/>
      <rgbColor rgb="FF12213D"/>
      <rgbColor rgb="FF2E7D32"/>
      <rgbColor rgb="FF003300"/>
      <rgbColor rgb="FF333300"/>
      <rgbColor rgb="FF9C2F2C"/>
      <rgbColor rgb="FFCE3A36"/>
      <rgbColor rgb="FF5E437F"/>
      <rgbColor rgb="FF5F5E5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Dashboard!$P$5</c:f>
              <c:strCache>
                <c:ptCount val="1"/>
                <c:pt idx="0">
                  <c:v>Count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dPt>
            <c:idx val="0"/>
            <c:bubble3D val="0"/>
            <c:spPr>
              <a:solidFill>
                <a:srgbClr val="B4B2A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1004-41EA-B624-5248FCEB4038}"/>
              </c:ext>
            </c:extLst>
          </c:dPt>
          <c:dPt>
            <c:idx val="1"/>
            <c:bubble3D val="0"/>
            <c:spPr>
              <a:solidFill>
                <a:srgbClr val="0E7C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1004-41EA-B624-5248FCEB4038}"/>
              </c:ext>
            </c:extLst>
          </c:dPt>
          <c:dPt>
            <c:idx val="2"/>
            <c:bubble3D val="0"/>
            <c:spPr>
              <a:solidFill>
                <a:srgbClr val="35C6E8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1004-41EA-B624-5248FCEB4038}"/>
              </c:ext>
            </c:extLst>
          </c:dPt>
          <c:dPt>
            <c:idx val="3"/>
            <c:bubble3D val="0"/>
            <c:spPr>
              <a:solidFill>
                <a:srgbClr val="378AD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1004-41EA-B624-5248FCEB4038}"/>
              </c:ext>
            </c:extLst>
          </c:dPt>
          <c:dPt>
            <c:idx val="4"/>
            <c:bubble3D val="0"/>
            <c:spPr>
              <a:solidFill>
                <a:srgbClr val="63992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1004-41EA-B624-5248FCEB4038}"/>
              </c:ext>
            </c:extLst>
          </c:dPt>
          <c:dPt>
            <c:idx val="5"/>
            <c:bubble3D val="0"/>
            <c:spPr>
              <a:solidFill>
                <a:srgbClr val="D85A3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1004-41EA-B624-5248FCEB4038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1004-41EA-B624-5248FCEB4038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1004-41EA-B624-5248FCEB4038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1004-41EA-B624-5248FCEB4038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1004-41EA-B624-5248FCEB4038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9-1004-41EA-B624-5248FCEB4038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B-1004-41EA-B624-5248FCEB40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Dashboard!$O$6:$O$11</c:f>
              <c:strCache>
                <c:ptCount val="6"/>
                <c:pt idx="0">
                  <c:v>Not Started</c:v>
                </c:pt>
                <c:pt idx="1">
                  <c:v>In Progress</c:v>
                </c:pt>
                <c:pt idx="2">
                  <c:v>Submitted</c:v>
                </c:pt>
                <c:pt idx="3">
                  <c:v>Interview</c:v>
                </c:pt>
                <c:pt idx="4">
                  <c:v>Accepted</c:v>
                </c:pt>
                <c:pt idx="5">
                  <c:v>Rejected</c:v>
                </c:pt>
              </c:strCache>
            </c:strRef>
          </c:cat>
          <c:val>
            <c:numRef>
              <c:f>Dashboard!$P$6:$P$11</c:f>
              <c:numCache>
                <c:formatCode>General</c:formatCode>
                <c:ptCount val="6"/>
                <c:pt idx="0">
                  <c:v>4</c:v>
                </c:pt>
                <c:pt idx="1">
                  <c:v>8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04-41EA-B624-5248FCEB4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Dashboard!$P$13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12213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Dashboard!$O$14:$O$21</c:f>
              <c:strCache>
                <c:ptCount val="8"/>
                <c:pt idx="0">
                  <c:v>Belgium</c:v>
                </c:pt>
                <c:pt idx="1">
                  <c:v>Canada</c:v>
                </c:pt>
                <c:pt idx="2">
                  <c:v>Germany</c:v>
                </c:pt>
                <c:pt idx="3">
                  <c:v>Italy</c:v>
                </c:pt>
                <c:pt idx="4">
                  <c:v>Netherlands</c:v>
                </c:pt>
                <c:pt idx="5">
                  <c:v>Norway</c:v>
                </c:pt>
                <c:pt idx="6">
                  <c:v>Sweden</c:v>
                </c:pt>
                <c:pt idx="7">
                  <c:v>Switzerland</c:v>
                </c:pt>
              </c:strCache>
            </c:strRef>
          </c:cat>
          <c:val>
            <c:numRef>
              <c:f>Dashboard!$P$14:$P$21</c:f>
              <c:numCache>
                <c:formatCode>General</c:formatCode>
                <c:ptCount val="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22-41D1-9625-6C8A9E79C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866188"/>
        <c:axId val="73383379"/>
      </c:barChart>
      <c:catAx>
        <c:axId val="38661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3383379"/>
        <c:crosses val="autoZero"/>
        <c:auto val="1"/>
        <c:lblAlgn val="ctr"/>
        <c:lblOffset val="100"/>
        <c:noMultiLvlLbl val="0"/>
      </c:catAx>
      <c:valAx>
        <c:axId val="733833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6618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radarChart>
        <c:radarStyle val="filled"/>
        <c:varyColors val="0"/>
        <c:ser>
          <c:idx val="0"/>
          <c:order val="0"/>
          <c:tx>
            <c:strRef>
              <c:f>Scoring!$B$4</c:f>
              <c:strCache>
                <c:ptCount val="1"/>
                <c:pt idx="0">
                  <c:v>Technical University of Munich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Scoring!$B$5:$B$9</c:f>
              <c:numCache>
                <c:formatCode>General</c:formatCode>
                <c:ptCount val="5"/>
                <c:pt idx="0">
                  <c:v>9</c:v>
                </c:pt>
                <c:pt idx="1">
                  <c:v>10</c:v>
                </c:pt>
                <c:pt idx="2">
                  <c:v>9</c:v>
                </c:pt>
                <c:pt idx="3">
                  <c:v>9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25-4E33-910A-567072000BA0}"/>
            </c:ext>
          </c:extLst>
        </c:ser>
        <c:ser>
          <c:idx val="1"/>
          <c:order val="1"/>
          <c:tx>
            <c:strRef>
              <c:f>Scoring!$C$4</c:f>
              <c:strCache>
                <c:ptCount val="1"/>
                <c:pt idx="0">
                  <c:v>Karolinska Institutet</c:v>
                </c:pt>
              </c:strCache>
            </c:strRef>
          </c:tx>
          <c:spPr>
            <a:gradFill>
              <a:gsLst>
                <a:gs pos="0">
                  <a:srgbClr val="9C2F2C"/>
                </a:gs>
                <a:gs pos="80000">
                  <a:srgbClr val="CB3D39"/>
                </a:gs>
                <a:gs pos="100000">
                  <a:srgbClr val="CE3A36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Scoring!$C$5:$C$9</c:f>
              <c:numCache>
                <c:formatCode>General</c:formatCode>
                <c:ptCount val="5"/>
                <c:pt idx="0">
                  <c:v>9</c:v>
                </c:pt>
                <c:pt idx="1">
                  <c:v>10</c:v>
                </c:pt>
                <c:pt idx="2">
                  <c:v>10</c:v>
                </c:pt>
                <c:pt idx="3">
                  <c:v>9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25-4E33-910A-567072000BA0}"/>
            </c:ext>
          </c:extLst>
        </c:ser>
        <c:ser>
          <c:idx val="2"/>
          <c:order val="2"/>
          <c:tx>
            <c:strRef>
              <c:f>Scoring!$D$4</c:f>
              <c:strCache>
                <c:ptCount val="1"/>
                <c:pt idx="0">
                  <c:v>University of Bologna</c:v>
                </c:pt>
              </c:strCache>
            </c:strRef>
          </c:tx>
          <c:spPr>
            <a:gradFill>
              <a:gsLst>
                <a:gs pos="0">
                  <a:srgbClr val="779637"/>
                </a:gs>
                <a:gs pos="80000">
                  <a:srgbClr val="9BC348"/>
                </a:gs>
                <a:gs pos="100000">
                  <a:srgbClr val="9CC745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Scoring!$D$5:$D$9</c:f>
              <c:numCache>
                <c:formatCode>General</c:formatCode>
                <c:ptCount val="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1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725-4E33-910A-567072000BA0}"/>
            </c:ext>
          </c:extLst>
        </c:ser>
        <c:ser>
          <c:idx val="3"/>
          <c:order val="3"/>
          <c:tx>
            <c:strRef>
              <c:f>Scoring!$E$4</c:f>
              <c:strCache>
                <c:ptCount val="1"/>
                <c:pt idx="0">
                  <c:v>ETH Zurich</c:v>
                </c:pt>
              </c:strCache>
            </c:strRef>
          </c:tx>
          <c:spPr>
            <a:gradFill>
              <a:gsLst>
                <a:gs pos="0">
                  <a:srgbClr val="5E437F"/>
                </a:gs>
                <a:gs pos="80000">
                  <a:srgbClr val="7B57A5"/>
                </a:gs>
                <a:gs pos="100000">
                  <a:srgbClr val="7B57A7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Scoring!$E$5:$E$9</c:f>
              <c:numCache>
                <c:formatCode>General</c:formatCode>
                <c:ptCount val="5"/>
                <c:pt idx="0">
                  <c:v>9</c:v>
                </c:pt>
                <c:pt idx="1">
                  <c:v>10</c:v>
                </c:pt>
                <c:pt idx="2">
                  <c:v>10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725-4E33-910A-567072000B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687084"/>
        <c:axId val="58334277"/>
      </c:radarChart>
      <c:catAx>
        <c:axId val="3068708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8334277"/>
        <c:crosses val="autoZero"/>
        <c:auto val="1"/>
        <c:lblAlgn val="ctr"/>
        <c:lblOffset val="100"/>
        <c:noMultiLvlLbl val="0"/>
      </c:catAx>
      <c:valAx>
        <c:axId val="58334277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068708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Status of selected applications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Explorer!$C$31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0E7C6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Explorer!$B$32:$B$37</c:f>
              <c:strCache>
                <c:ptCount val="6"/>
                <c:pt idx="0">
                  <c:v>Not Started</c:v>
                </c:pt>
                <c:pt idx="1">
                  <c:v>In Progress</c:v>
                </c:pt>
                <c:pt idx="2">
                  <c:v>Submitted</c:v>
                </c:pt>
                <c:pt idx="3">
                  <c:v>Interview</c:v>
                </c:pt>
                <c:pt idx="4">
                  <c:v>Accepted</c:v>
                </c:pt>
                <c:pt idx="5">
                  <c:v>Rejected</c:v>
                </c:pt>
              </c:strCache>
            </c:strRef>
          </c:cat>
          <c:val>
            <c:numRef>
              <c:f>Explorer!$C$32:$C$37</c:f>
              <c:numCache>
                <c:formatCode>General</c:formatCode>
                <c:ptCount val="6"/>
                <c:pt idx="0">
                  <c:v>4</c:v>
                </c:pt>
                <c:pt idx="1">
                  <c:v>8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53-4C01-B9C6-3E9AFC748D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875951"/>
        <c:axId val="43312619"/>
      </c:barChart>
      <c:catAx>
        <c:axId val="808759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3312619"/>
        <c:crosses val="autoZero"/>
        <c:auto val="1"/>
        <c:lblAlgn val="ctr"/>
        <c:lblOffset val="100"/>
        <c:noMultiLvlLbl val="0"/>
      </c:catAx>
      <c:valAx>
        <c:axId val="4331261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87595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Shortlist comparison (0-10)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Scoring!$B$4</c:f>
              <c:strCache>
                <c:ptCount val="1"/>
                <c:pt idx="0">
                  <c:v>Technical University of Munich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Scoring!$B$5:$B$9</c:f>
              <c:numCache>
                <c:formatCode>General</c:formatCode>
                <c:ptCount val="5"/>
                <c:pt idx="0">
                  <c:v>9</c:v>
                </c:pt>
                <c:pt idx="1">
                  <c:v>10</c:v>
                </c:pt>
                <c:pt idx="2">
                  <c:v>9</c:v>
                </c:pt>
                <c:pt idx="3">
                  <c:v>9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33-4DDD-9EE4-C081EEA449A5}"/>
            </c:ext>
          </c:extLst>
        </c:ser>
        <c:ser>
          <c:idx val="1"/>
          <c:order val="1"/>
          <c:tx>
            <c:strRef>
              <c:f>Scoring!$C$4</c:f>
              <c:strCache>
                <c:ptCount val="1"/>
                <c:pt idx="0">
                  <c:v>Karolinska Institutet</c:v>
                </c:pt>
              </c:strCache>
            </c:strRef>
          </c:tx>
          <c:spPr>
            <a:gradFill>
              <a:gsLst>
                <a:gs pos="0">
                  <a:srgbClr val="9C2F2C"/>
                </a:gs>
                <a:gs pos="80000">
                  <a:srgbClr val="CB3D39"/>
                </a:gs>
                <a:gs pos="100000">
                  <a:srgbClr val="CE3A36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Scoring!$C$5:$C$9</c:f>
              <c:numCache>
                <c:formatCode>General</c:formatCode>
                <c:ptCount val="5"/>
                <c:pt idx="0">
                  <c:v>9</c:v>
                </c:pt>
                <c:pt idx="1">
                  <c:v>10</c:v>
                </c:pt>
                <c:pt idx="2">
                  <c:v>10</c:v>
                </c:pt>
                <c:pt idx="3">
                  <c:v>9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33-4DDD-9EE4-C081EEA449A5}"/>
            </c:ext>
          </c:extLst>
        </c:ser>
        <c:ser>
          <c:idx val="2"/>
          <c:order val="2"/>
          <c:tx>
            <c:strRef>
              <c:f>Scoring!$D$4</c:f>
              <c:strCache>
                <c:ptCount val="1"/>
                <c:pt idx="0">
                  <c:v>University of Bologna</c:v>
                </c:pt>
              </c:strCache>
            </c:strRef>
          </c:tx>
          <c:spPr>
            <a:gradFill>
              <a:gsLst>
                <a:gs pos="0">
                  <a:srgbClr val="779637"/>
                </a:gs>
                <a:gs pos="80000">
                  <a:srgbClr val="9BC348"/>
                </a:gs>
                <a:gs pos="100000">
                  <a:srgbClr val="9CC745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Scoring!$D$5:$D$9</c:f>
              <c:numCache>
                <c:formatCode>General</c:formatCode>
                <c:ptCount val="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1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33-4DDD-9EE4-C081EEA449A5}"/>
            </c:ext>
          </c:extLst>
        </c:ser>
        <c:ser>
          <c:idx val="3"/>
          <c:order val="3"/>
          <c:tx>
            <c:strRef>
              <c:f>Scoring!$E$4</c:f>
              <c:strCache>
                <c:ptCount val="1"/>
                <c:pt idx="0">
                  <c:v>ETH Zurich</c:v>
                </c:pt>
              </c:strCache>
            </c:strRef>
          </c:tx>
          <c:spPr>
            <a:gradFill>
              <a:gsLst>
                <a:gs pos="0">
                  <a:srgbClr val="5E437F"/>
                </a:gs>
                <a:gs pos="80000">
                  <a:srgbClr val="7B57A5"/>
                </a:gs>
                <a:gs pos="100000">
                  <a:srgbClr val="7B57A7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Scoring!$E$5:$E$9</c:f>
              <c:numCache>
                <c:formatCode>General</c:formatCode>
                <c:ptCount val="5"/>
                <c:pt idx="0">
                  <c:v>9</c:v>
                </c:pt>
                <c:pt idx="1">
                  <c:v>10</c:v>
                </c:pt>
                <c:pt idx="2">
                  <c:v>10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33-4DDD-9EE4-C081EEA44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12455"/>
        <c:axId val="90074904"/>
      </c:radarChart>
      <c:catAx>
        <c:axId val="2451245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0074904"/>
        <c:crosses val="autoZero"/>
        <c:auto val="1"/>
        <c:lblAlgn val="ctr"/>
        <c:lblOffset val="100"/>
        <c:noMultiLvlLbl val="0"/>
      </c:catAx>
      <c:valAx>
        <c:axId val="90074904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451245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0</xdr:rowOff>
    </xdr:from>
    <xdr:to>
      <xdr:col>5</xdr:col>
      <xdr:colOff>834120</xdr:colOff>
      <xdr:row>24</xdr:row>
      <xdr:rowOff>11880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8</xdr:row>
      <xdr:rowOff>0</xdr:rowOff>
    </xdr:from>
    <xdr:to>
      <xdr:col>9</xdr:col>
      <xdr:colOff>834480</xdr:colOff>
      <xdr:row>24</xdr:row>
      <xdr:rowOff>11880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14</xdr:col>
      <xdr:colOff>222840</xdr:colOff>
      <xdr:row>24</xdr:row>
      <xdr:rowOff>11880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30</xdr:row>
      <xdr:rowOff>0</xdr:rowOff>
    </xdr:from>
    <xdr:to>
      <xdr:col>11</xdr:col>
      <xdr:colOff>103680</xdr:colOff>
      <xdr:row>43</xdr:row>
      <xdr:rowOff>43200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</xdr:row>
      <xdr:rowOff>78120</xdr:rowOff>
    </xdr:from>
    <xdr:to>
      <xdr:col>3</xdr:col>
      <xdr:colOff>981720</xdr:colOff>
      <xdr:row>31</xdr:row>
      <xdr:rowOff>58320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inkedin.com/in/phd-research-plan-applyabroad/" TargetMode="External"/><Relationship Id="rId2" Type="http://schemas.openxmlformats.org/officeDocument/2006/relationships/hyperlink" Target="https://applyabroadlab.com/" TargetMode="External"/><Relationship Id="rId1" Type="http://schemas.openxmlformats.org/officeDocument/2006/relationships/hyperlink" Target="https://applyabroadlab.com/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www.linkedin.com/in/ali-soltanhosseini-au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applyabroadlab.com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u.nl/" TargetMode="External"/><Relationship Id="rId13" Type="http://schemas.openxmlformats.org/officeDocument/2006/relationships/hyperlink" Target="https://www.unibo.it/" TargetMode="External"/><Relationship Id="rId18" Type="http://schemas.openxmlformats.org/officeDocument/2006/relationships/hyperlink" Target="https://www.ntnu.edu/" TargetMode="External"/><Relationship Id="rId3" Type="http://schemas.openxmlformats.org/officeDocument/2006/relationships/hyperlink" Target="https://www.uni-heidelberg.de/" TargetMode="External"/><Relationship Id="rId21" Type="http://schemas.openxmlformats.org/officeDocument/2006/relationships/hyperlink" Target="https://www.mcgill.ca/" TargetMode="External"/><Relationship Id="rId7" Type="http://schemas.openxmlformats.org/officeDocument/2006/relationships/hyperlink" Target="https://www.wur.nl/" TargetMode="External"/><Relationship Id="rId12" Type="http://schemas.openxmlformats.org/officeDocument/2006/relationships/hyperlink" Target="https://www.polimi.it/" TargetMode="External"/><Relationship Id="rId17" Type="http://schemas.openxmlformats.org/officeDocument/2006/relationships/hyperlink" Target="https://www.epfl.ch/" TargetMode="External"/><Relationship Id="rId2" Type="http://schemas.openxmlformats.org/officeDocument/2006/relationships/hyperlink" Target="https://www.tum.de/" TargetMode="External"/><Relationship Id="rId16" Type="http://schemas.openxmlformats.org/officeDocument/2006/relationships/hyperlink" Target="https://ethz.ch/" TargetMode="External"/><Relationship Id="rId20" Type="http://schemas.openxmlformats.org/officeDocument/2006/relationships/hyperlink" Target="https://www.utoronto.ca/" TargetMode="External"/><Relationship Id="rId1" Type="http://schemas.openxmlformats.org/officeDocument/2006/relationships/hyperlink" Target="https://applyabroadlab.com/" TargetMode="External"/><Relationship Id="rId6" Type="http://schemas.openxmlformats.org/officeDocument/2006/relationships/hyperlink" Target="https://www.uva.nl/" TargetMode="External"/><Relationship Id="rId11" Type="http://schemas.openxmlformats.org/officeDocument/2006/relationships/hyperlink" Target="https://www.lu.se/" TargetMode="External"/><Relationship Id="rId5" Type="http://schemas.openxmlformats.org/officeDocument/2006/relationships/hyperlink" Target="https://www.tudelft.nl/" TargetMode="External"/><Relationship Id="rId15" Type="http://schemas.openxmlformats.org/officeDocument/2006/relationships/hyperlink" Target="https://www.ugent.be/" TargetMode="External"/><Relationship Id="rId10" Type="http://schemas.openxmlformats.org/officeDocument/2006/relationships/hyperlink" Target="https://www.kth.se/" TargetMode="External"/><Relationship Id="rId19" Type="http://schemas.openxmlformats.org/officeDocument/2006/relationships/hyperlink" Target="https://www.uio.no/" TargetMode="External"/><Relationship Id="rId4" Type="http://schemas.openxmlformats.org/officeDocument/2006/relationships/hyperlink" Target="https://www.rwth-aachen.de/" TargetMode="External"/><Relationship Id="rId9" Type="http://schemas.openxmlformats.org/officeDocument/2006/relationships/hyperlink" Target="https://ki.se/" TargetMode="External"/><Relationship Id="rId14" Type="http://schemas.openxmlformats.org/officeDocument/2006/relationships/hyperlink" Target="https://www.kuleuven.be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applyabroadlab.com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applyabroadlab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applyabroadlab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1"/>
  <sheetViews>
    <sheetView showGridLines="0" tabSelected="1" topLeftCell="A20" zoomScaleNormal="100" workbookViewId="0">
      <selection activeCell="C40" sqref="C40:H40"/>
    </sheetView>
  </sheetViews>
  <sheetFormatPr defaultColWidth="8.6640625" defaultRowHeight="14.4" x14ac:dyDescent="0.3"/>
  <cols>
    <col min="1" max="1" width="3" customWidth="1"/>
    <col min="2" max="13" width="13" customWidth="1"/>
    <col min="15" max="15" width="14" customWidth="1"/>
    <col min="16" max="16" width="8" customWidth="1"/>
  </cols>
  <sheetData>
    <row r="1" spans="1:16" ht="24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6" ht="39.75" customHeight="1" x14ac:dyDescent="0.3">
      <c r="B2" s="13" t="s">
        <v>1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3" spans="1:16" x14ac:dyDescent="0.3">
      <c r="B3" s="12" t="str">
        <f ca="1">"Command center for a graduate application campaign  |  Last updated: "&amp;TEXT(TODAY(),"dd-mmm-yyyy")</f>
        <v>Command center for a graduate application campaign  |  Last updated: 22-Sep-2026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spans="1:16" x14ac:dyDescent="0.3">
      <c r="O4" s="15" t="s">
        <v>2</v>
      </c>
    </row>
    <row r="5" spans="1:16" ht="21.75" customHeight="1" x14ac:dyDescent="0.3">
      <c r="B5" s="11" t="s">
        <v>3</v>
      </c>
      <c r="C5" s="11"/>
      <c r="D5" s="11" t="s">
        <v>4</v>
      </c>
      <c r="E5" s="11"/>
      <c r="F5" s="11" t="s">
        <v>5</v>
      </c>
      <c r="G5" s="11"/>
      <c r="H5" s="11" t="s">
        <v>6</v>
      </c>
      <c r="I5" s="11"/>
      <c r="J5" s="11" t="s">
        <v>7</v>
      </c>
      <c r="K5" s="11"/>
      <c r="L5" s="11" t="s">
        <v>8</v>
      </c>
      <c r="M5" s="11"/>
      <c r="O5" s="16" t="s">
        <v>9</v>
      </c>
      <c r="P5" s="16" t="s">
        <v>10</v>
      </c>
    </row>
    <row r="6" spans="1:16" ht="45.75" customHeight="1" x14ac:dyDescent="0.3">
      <c r="B6" s="10">
        <f>COUNTA(Applications!$B$4:$B$23)</f>
        <v>20</v>
      </c>
      <c r="C6" s="10"/>
      <c r="D6" s="9">
        <f ca="1">SUMPRODUCT(MIN(IF(Applications!$I$4:$I$23&gt;=0,Applications!$I$4:$I$23)))</f>
        <v>13</v>
      </c>
      <c r="E6" s="9"/>
      <c r="F6" s="10">
        <f>SUMPRODUCT((Applications!$K$4:$K$23="High")*(Applications!$J$4:$J$23&lt;&gt;"Submitted")*(Applications!$J$4:$J$23&lt;&gt;"Accepted")*(Applications!$J$4:$J$23&lt;&gt;"Rejected"))</f>
        <v>6</v>
      </c>
      <c r="G6" s="10"/>
      <c r="H6" s="8">
        <f>IFERROR(AVERAGE(Applications!$N$4:$N$23),0)</f>
        <v>0.64249999999999996</v>
      </c>
      <c r="I6" s="8"/>
      <c r="J6" s="10">
        <f>COUNTIF(Applications!$J$4:$J$23,"Accepted")</f>
        <v>1</v>
      </c>
      <c r="K6" s="10"/>
      <c r="L6" s="10">
        <f>ROUND(AVERAGE(Applications!$L$4:$L$23),1)</f>
        <v>7.7</v>
      </c>
      <c r="M6" s="10"/>
      <c r="O6" s="17" t="s">
        <v>11</v>
      </c>
      <c r="P6" s="16">
        <f>COUNTIF(Applications!$J$4:$J$23,"Not Started")</f>
        <v>4</v>
      </c>
    </row>
    <row r="7" spans="1:16" x14ac:dyDescent="0.3">
      <c r="O7" s="17" t="s">
        <v>12</v>
      </c>
      <c r="P7" s="16">
        <f>COUNTIF(Applications!$J$4:$J$23,"In Progress")</f>
        <v>8</v>
      </c>
    </row>
    <row r="8" spans="1:16" ht="19.5" customHeight="1" x14ac:dyDescent="0.3">
      <c r="B8" s="7" t="s">
        <v>13</v>
      </c>
      <c r="C8" s="7"/>
      <c r="D8" s="7"/>
      <c r="E8" s="7"/>
      <c r="F8" s="7" t="s">
        <v>14</v>
      </c>
      <c r="G8" s="7"/>
      <c r="H8" s="7"/>
      <c r="I8" s="7"/>
      <c r="J8" s="7" t="s">
        <v>15</v>
      </c>
      <c r="K8" s="7"/>
      <c r="L8" s="7"/>
      <c r="M8" s="7"/>
      <c r="O8" s="17" t="s">
        <v>16</v>
      </c>
      <c r="P8" s="16">
        <f>COUNTIF(Applications!$J$4:$J$23,"Submitted")</f>
        <v>3</v>
      </c>
    </row>
    <row r="9" spans="1:16" x14ac:dyDescent="0.3">
      <c r="O9" s="17" t="s">
        <v>17</v>
      </c>
      <c r="P9" s="16">
        <f>COUNTIF(Applications!$J$4:$J$23,"Interview")</f>
        <v>3</v>
      </c>
    </row>
    <row r="10" spans="1:16" x14ac:dyDescent="0.3">
      <c r="O10" s="17" t="s">
        <v>18</v>
      </c>
      <c r="P10" s="16">
        <f>COUNTIF(Applications!$J$4:$J$23,"Accepted")</f>
        <v>1</v>
      </c>
    </row>
    <row r="11" spans="1:16" x14ac:dyDescent="0.3">
      <c r="O11" s="17" t="s">
        <v>19</v>
      </c>
      <c r="P11" s="16">
        <f>COUNTIF(Applications!$J$4:$J$23,"Rejected")</f>
        <v>1</v>
      </c>
    </row>
    <row r="12" spans="1:16" x14ac:dyDescent="0.3">
      <c r="O12" s="16"/>
      <c r="P12" s="16"/>
    </row>
    <row r="13" spans="1:16" x14ac:dyDescent="0.3">
      <c r="O13" s="16" t="s">
        <v>20</v>
      </c>
      <c r="P13" s="16" t="s">
        <v>10</v>
      </c>
    </row>
    <row r="14" spans="1:16" x14ac:dyDescent="0.3">
      <c r="O14" s="17" t="s">
        <v>21</v>
      </c>
      <c r="P14" s="16">
        <f>COUNTIF(Applications!$C$4:$C$23,"Belgium")</f>
        <v>2</v>
      </c>
    </row>
    <row r="15" spans="1:16" x14ac:dyDescent="0.3">
      <c r="O15" s="17" t="s">
        <v>22</v>
      </c>
      <c r="P15" s="16">
        <f>COUNTIF(Applications!$C$4:$C$23,"Canada")</f>
        <v>2</v>
      </c>
    </row>
    <row r="16" spans="1:16" x14ac:dyDescent="0.3">
      <c r="O16" s="17" t="s">
        <v>23</v>
      </c>
      <c r="P16" s="16">
        <f>COUNTIF(Applications!$C$4:$C$23,"Germany")</f>
        <v>3</v>
      </c>
    </row>
    <row r="17" spans="2:16" x14ac:dyDescent="0.3">
      <c r="O17" s="17" t="s">
        <v>24</v>
      </c>
      <c r="P17" s="16">
        <f>COUNTIF(Applications!$C$4:$C$23,"Italy")</f>
        <v>2</v>
      </c>
    </row>
    <row r="18" spans="2:16" x14ac:dyDescent="0.3">
      <c r="O18" s="17" t="s">
        <v>25</v>
      </c>
      <c r="P18" s="16">
        <f>COUNTIF(Applications!$C$4:$C$23,"Netherlands")</f>
        <v>4</v>
      </c>
    </row>
    <row r="19" spans="2:16" x14ac:dyDescent="0.3">
      <c r="O19" s="17" t="s">
        <v>26</v>
      </c>
      <c r="P19" s="16">
        <f>COUNTIF(Applications!$C$4:$C$23,"Norway")</f>
        <v>2</v>
      </c>
    </row>
    <row r="20" spans="2:16" x14ac:dyDescent="0.3">
      <c r="O20" s="17" t="s">
        <v>27</v>
      </c>
      <c r="P20" s="16">
        <f>COUNTIF(Applications!$C$4:$C$23,"Sweden")</f>
        <v>3</v>
      </c>
    </row>
    <row r="21" spans="2:16" x14ac:dyDescent="0.3">
      <c r="O21" s="17" t="s">
        <v>28</v>
      </c>
      <c r="P21" s="16">
        <f>COUNTIF(Applications!$C$4:$C$23,"Switzerland")</f>
        <v>2</v>
      </c>
    </row>
    <row r="22" spans="2:16" x14ac:dyDescent="0.3">
      <c r="O22" s="16"/>
      <c r="P22" s="16"/>
    </row>
    <row r="27" spans="2:16" x14ac:dyDescent="0.3">
      <c r="B27" s="6" t="s">
        <v>29</v>
      </c>
      <c r="C27" s="6"/>
      <c r="D27" s="6"/>
      <c r="E27" s="6"/>
      <c r="F27" s="6"/>
      <c r="G27" s="6"/>
      <c r="I27" s="6" t="s">
        <v>30</v>
      </c>
      <c r="J27" s="6"/>
      <c r="K27" s="6"/>
      <c r="L27" s="6"/>
      <c r="M27" s="6"/>
    </row>
    <row r="28" spans="2:16" ht="15" customHeight="1" x14ac:dyDescent="0.3">
      <c r="B28" s="18" t="s">
        <v>31</v>
      </c>
      <c r="C28" s="5" t="s">
        <v>32</v>
      </c>
      <c r="D28" s="5"/>
      <c r="E28" s="5" t="s">
        <v>33</v>
      </c>
      <c r="F28" s="5"/>
      <c r="G28" s="18" t="s">
        <v>34</v>
      </c>
      <c r="H28" s="18" t="s">
        <v>35</v>
      </c>
    </row>
    <row r="29" spans="2:16" ht="18" customHeight="1" x14ac:dyDescent="0.3">
      <c r="B29" s="19">
        <v>1</v>
      </c>
      <c r="C29" s="4" t="str">
        <f ca="1">IFERROR(HYPERLINK("#'Applications'!A"&amp;(MATCH(SMALL(Applications!$Q$4:$Q$23,1),Applications!$Q$4:$Q$23,0)+3),INDEX(Applications!$B$4:$B$23,MATCH(SMALL(Applications!$Q$4:$Q$23,1),Applications!$Q$4:$Q$23,0))),"")</f>
        <v>Technical University of Munich</v>
      </c>
      <c r="D29" s="4"/>
      <c r="E29" s="3" t="str">
        <f ca="1">IFERROR(INDEX(Applications!$D$4:$D$23,MATCH(SMALL(Applications!$Q$4:$Q$23,1),Applications!$Q$4:$Q$23,0)),"")</f>
        <v>PhD in Computational Biology</v>
      </c>
      <c r="F29" s="3"/>
      <c r="G29" s="20">
        <f ca="1">IFERROR(INDEX(Applications!$H$4:$H$23,MATCH(SMALL(Applications!$Q$4:$Q$23,1),Applications!$Q$4:$Q$23,0)),"")</f>
        <v>46300</v>
      </c>
      <c r="H29" s="21">
        <f ca="1">IFERROR(INDEX(Applications!$I$4:$I$23,MATCH(SMALL(Applications!$Q$4:$Q$23,1),Applications!$Q$4:$Q$23,0)),"")</f>
        <v>13</v>
      </c>
      <c r="I29" s="2" t="s">
        <v>36</v>
      </c>
      <c r="J29" s="2"/>
      <c r="K29" s="2"/>
      <c r="L29" s="2"/>
      <c r="M29" s="2"/>
    </row>
    <row r="30" spans="2:16" ht="18" customHeight="1" x14ac:dyDescent="0.3">
      <c r="B30" s="19">
        <v>2</v>
      </c>
      <c r="C30" s="4" t="str">
        <f ca="1">IFERROR(HYPERLINK("#'Applications'!A"&amp;(MATCH(SMALL(Applications!$Q$4:$Q$23,2),Applications!$Q$4:$Q$23,0)+3),INDEX(Applications!$B$4:$B$23,MATCH(SMALL(Applications!$Q$4:$Q$23,2),Applications!$Q$4:$Q$23,0))),"")</f>
        <v>Delft University of Technology</v>
      </c>
      <c r="D30" s="4"/>
      <c r="E30" s="3" t="str">
        <f ca="1">IFERROR(INDEX(Applications!$D$4:$D$23,MATCH(SMALL(Applications!$Q$4:$Q$23,2),Applications!$Q$4:$Q$23,0)),"")</f>
        <v>PhD in Structural Engineering</v>
      </c>
      <c r="F30" s="3"/>
      <c r="G30" s="20">
        <f ca="1">IFERROR(INDEX(Applications!$H$4:$H$23,MATCH(SMALL(Applications!$Q$4:$Q$23,2),Applications!$Q$4:$Q$23,0)),"")</f>
        <v>46307</v>
      </c>
      <c r="H30" s="21">
        <f ca="1">IFERROR(INDEX(Applications!$I$4:$I$23,MATCH(SMALL(Applications!$Q$4:$Q$23,2),Applications!$Q$4:$Q$23,0)),"")</f>
        <v>20</v>
      </c>
      <c r="I30" s="2" t="s">
        <v>37</v>
      </c>
      <c r="J30" s="2"/>
      <c r="K30" s="2"/>
      <c r="L30" s="2"/>
      <c r="M30" s="2"/>
    </row>
    <row r="31" spans="2:16" ht="18" customHeight="1" x14ac:dyDescent="0.3">
      <c r="B31" s="19">
        <v>3</v>
      </c>
      <c r="C31" s="4" t="str">
        <f ca="1">IFERROR(HYPERLINK("#'Applications'!A"&amp;(MATCH(SMALL(Applications!$Q$4:$Q$23,3),Applications!$Q$4:$Q$23,0)+3),INDEX(Applications!$B$4:$B$23,MATCH(SMALL(Applications!$Q$4:$Q$23,3),Applications!$Q$4:$Q$23,0))),"")</f>
        <v>University of Amsterdam</v>
      </c>
      <c r="D31" s="4"/>
      <c r="E31" s="3" t="str">
        <f ca="1">IFERROR(INDEX(Applications!$D$4:$D$23,MATCH(SMALL(Applications!$Q$4:$Q$23,3),Applications!$Q$4:$Q$23,0)),"")</f>
        <v>PhD in Clinical Psychology</v>
      </c>
      <c r="F31" s="3"/>
      <c r="G31" s="20">
        <f ca="1">IFERROR(INDEX(Applications!$H$4:$H$23,MATCH(SMALL(Applications!$Q$4:$Q$23,3),Applications!$Q$4:$Q$23,0)),"")</f>
        <v>46313</v>
      </c>
      <c r="H31" s="21">
        <f ca="1">IFERROR(INDEX(Applications!$I$4:$I$23,MATCH(SMALL(Applications!$Q$4:$Q$23,3),Applications!$Q$4:$Q$23,0)),"")</f>
        <v>26</v>
      </c>
      <c r="I31" s="2" t="s">
        <v>38</v>
      </c>
      <c r="J31" s="2"/>
      <c r="K31" s="2"/>
      <c r="L31" s="2"/>
      <c r="M31" s="2"/>
    </row>
    <row r="32" spans="2:16" ht="18" customHeight="1" x14ac:dyDescent="0.3">
      <c r="B32" s="19">
        <v>4</v>
      </c>
      <c r="C32" s="4" t="str">
        <f ca="1">IFERROR(HYPERLINK("#'Applications'!A"&amp;(MATCH(SMALL(Applications!$Q$4:$Q$23,4),Applications!$Q$4:$Q$23,0)+3),INDEX(Applications!$B$4:$B$23,MATCH(SMALL(Applications!$Q$4:$Q$23,4),Applications!$Q$4:$Q$23,0))),"")</f>
        <v>Karolinska Institutet</v>
      </c>
      <c r="D32" s="4"/>
      <c r="E32" s="3" t="str">
        <f ca="1">IFERROR(INDEX(Applications!$D$4:$D$23,MATCH(SMALL(Applications!$Q$4:$Q$23,4),Applications!$Q$4:$Q$23,0)),"")</f>
        <v>Postdoc in Cancer Biology</v>
      </c>
      <c r="F32" s="3"/>
      <c r="G32" s="20">
        <f ca="1">IFERROR(INDEX(Applications!$H$4:$H$23,MATCH(SMALL(Applications!$Q$4:$Q$23,4),Applications!$Q$4:$Q$23,0)),"")</f>
        <v>46315</v>
      </c>
      <c r="H32" s="21">
        <f ca="1">IFERROR(INDEX(Applications!$I$4:$I$23,MATCH(SMALL(Applications!$Q$4:$Q$23,4),Applications!$Q$4:$Q$23,0)),"")</f>
        <v>28</v>
      </c>
      <c r="I32" s="2" t="s">
        <v>39</v>
      </c>
      <c r="J32" s="2"/>
      <c r="K32" s="2"/>
      <c r="L32" s="2"/>
      <c r="M32" s="2"/>
    </row>
    <row r="33" spans="2:13" ht="18" customHeight="1" x14ac:dyDescent="0.3">
      <c r="B33" s="19">
        <v>5</v>
      </c>
      <c r="C33" s="4" t="str">
        <f ca="1">IFERROR(HYPERLINK("#'Applications'!A"&amp;(MATCH(SMALL(Applications!$Q$4:$Q$23,5),Applications!$Q$4:$Q$23,0)+3),INDEX(Applications!$B$4:$B$23,MATCH(SMALL(Applications!$Q$4:$Q$23,5),Applications!$Q$4:$Q$23,0))),"")</f>
        <v/>
      </c>
      <c r="D33" s="4"/>
      <c r="E33" s="3" t="str">
        <f ca="1">IFERROR(INDEX(Applications!$D$4:$D$23,MATCH(SMALL(Applications!$Q$4:$Q$23,5),Applications!$Q$4:$Q$23,0)),"")</f>
        <v/>
      </c>
      <c r="F33" s="3"/>
      <c r="G33" s="20" t="str">
        <f ca="1">IFERROR(INDEX(Applications!$H$4:$H$23,MATCH(SMALL(Applications!$Q$4:$Q$23,5),Applications!$Q$4:$Q$23,0)),"")</f>
        <v/>
      </c>
      <c r="H33" s="21" t="str">
        <f ca="1">IFERROR(INDEX(Applications!$I$4:$I$23,MATCH(SMALL(Applications!$Q$4:$Q$23,5),Applications!$Q$4:$Q$23,0)),"")</f>
        <v/>
      </c>
      <c r="I33" s="2" t="s">
        <v>40</v>
      </c>
      <c r="J33" s="2"/>
      <c r="K33" s="2"/>
      <c r="L33" s="2"/>
      <c r="M33" s="2"/>
    </row>
    <row r="34" spans="2:13" ht="18" customHeight="1" x14ac:dyDescent="0.3">
      <c r="B34" s="19">
        <v>6</v>
      </c>
      <c r="C34" s="4" t="str">
        <f ca="1">IFERROR(HYPERLINK("#'Applications'!A"&amp;(MATCH(SMALL(Applications!$Q$4:$Q$23,6),Applications!$Q$4:$Q$23,0)+3),INDEX(Applications!$B$4:$B$23,MATCH(SMALL(Applications!$Q$4:$Q$23,6),Applications!$Q$4:$Q$23,0))),"")</f>
        <v/>
      </c>
      <c r="D34" s="4"/>
      <c r="E34" s="3" t="str">
        <f ca="1">IFERROR(INDEX(Applications!$D$4:$D$23,MATCH(SMALL(Applications!$Q$4:$Q$23,6),Applications!$Q$4:$Q$23,0)),"")</f>
        <v/>
      </c>
      <c r="F34" s="3"/>
      <c r="G34" s="20" t="str">
        <f ca="1">IFERROR(INDEX(Applications!$H$4:$H$23,MATCH(SMALL(Applications!$Q$4:$Q$23,6),Applications!$Q$4:$Q$23,0)),"")</f>
        <v/>
      </c>
      <c r="H34" s="21" t="str">
        <f ca="1">IFERROR(INDEX(Applications!$I$4:$I$23,MATCH(SMALL(Applications!$Q$4:$Q$23,6),Applications!$Q$4:$Q$23,0)),"")</f>
        <v/>
      </c>
    </row>
    <row r="36" spans="2:13" x14ac:dyDescent="0.3">
      <c r="B36" s="1" t="s">
        <v>41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8" spans="2:13" x14ac:dyDescent="0.3">
      <c r="B38" s="6" t="s">
        <v>42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</row>
    <row r="39" spans="2:13" x14ac:dyDescent="0.3">
      <c r="B39" s="22" t="s">
        <v>43</v>
      </c>
      <c r="C39" s="46" t="s">
        <v>44</v>
      </c>
      <c r="D39" s="46"/>
      <c r="E39" s="46"/>
      <c r="F39" s="46"/>
      <c r="G39" s="46"/>
      <c r="H39" s="46"/>
    </row>
    <row r="40" spans="2:13" x14ac:dyDescent="0.3">
      <c r="B40" s="22" t="s">
        <v>45</v>
      </c>
      <c r="C40" s="53" t="s">
        <v>46</v>
      </c>
      <c r="D40" s="53"/>
      <c r="E40" s="53"/>
      <c r="F40" s="53"/>
      <c r="G40" s="53"/>
      <c r="H40" s="53"/>
    </row>
    <row r="41" spans="2:13" x14ac:dyDescent="0.3">
      <c r="B41" s="22" t="s">
        <v>47</v>
      </c>
      <c r="C41" s="47" t="s">
        <v>48</v>
      </c>
      <c r="D41" s="47"/>
      <c r="E41" s="47"/>
      <c r="F41" s="47"/>
      <c r="G41" s="47"/>
      <c r="H41" s="47"/>
    </row>
  </sheetData>
  <mergeCells count="44">
    <mergeCell ref="C40:H40"/>
    <mergeCell ref="C41:H41"/>
    <mergeCell ref="C34:D34"/>
    <mergeCell ref="E34:F34"/>
    <mergeCell ref="B36:M36"/>
    <mergeCell ref="B38:M38"/>
    <mergeCell ref="C39:H39"/>
    <mergeCell ref="C32:D32"/>
    <mergeCell ref="E32:F32"/>
    <mergeCell ref="I32:M32"/>
    <mergeCell ref="C33:D33"/>
    <mergeCell ref="E33:F33"/>
    <mergeCell ref="I33:M33"/>
    <mergeCell ref="C30:D30"/>
    <mergeCell ref="E30:F30"/>
    <mergeCell ref="I30:M30"/>
    <mergeCell ref="C31:D31"/>
    <mergeCell ref="E31:F31"/>
    <mergeCell ref="I31:M31"/>
    <mergeCell ref="C28:D28"/>
    <mergeCell ref="E28:F28"/>
    <mergeCell ref="C29:D29"/>
    <mergeCell ref="E29:F29"/>
    <mergeCell ref="I29:M29"/>
    <mergeCell ref="L6:M6"/>
    <mergeCell ref="B8:E8"/>
    <mergeCell ref="F8:I8"/>
    <mergeCell ref="J8:M8"/>
    <mergeCell ref="B27:G27"/>
    <mergeCell ref="I27:M27"/>
    <mergeCell ref="B6:C6"/>
    <mergeCell ref="D6:E6"/>
    <mergeCell ref="F6:G6"/>
    <mergeCell ref="H6:I6"/>
    <mergeCell ref="J6:K6"/>
    <mergeCell ref="A1:M1"/>
    <mergeCell ref="B2:M2"/>
    <mergeCell ref="B3:M3"/>
    <mergeCell ref="B5:C5"/>
    <mergeCell ref="D5:E5"/>
    <mergeCell ref="F5:G5"/>
    <mergeCell ref="H5:I5"/>
    <mergeCell ref="J5:K5"/>
    <mergeCell ref="L5:M5"/>
  </mergeCells>
  <conditionalFormatting sqref="H29:H34">
    <cfRule type="cellIs" dxfId="15" priority="2" operator="between">
      <formula>0</formula>
      <formula>30</formula>
    </cfRule>
  </conditionalFormatting>
  <conditionalFormatting sqref="B29:H34">
    <cfRule type="expression" dxfId="14" priority="3">
      <formula>$C29=""</formula>
    </cfRule>
  </conditionalFormatting>
  <hyperlinks>
    <hyperlink ref="A1" r:id="rId1" xr:uid="{00000000-0004-0000-0000-000000000000}"/>
    <hyperlink ref="B6" location="'Applications'!A4" display="'Applications'!A4" xr:uid="{00000000-0004-0000-0000-000001000000}"/>
    <hyperlink ref="D6" location="'Applications'!A4" display="'Applications'!A4" xr:uid="{00000000-0004-0000-0000-000002000000}"/>
    <hyperlink ref="F6" location="'Applications'!A4" display="'Applications'!A4" xr:uid="{00000000-0004-0000-0000-000003000000}"/>
    <hyperlink ref="H6" location="'Applications'!A4" display="'Applications'!A4" xr:uid="{00000000-0004-0000-0000-000004000000}"/>
    <hyperlink ref="J6" location="'Applications'!A4" display="'Applications'!A4" xr:uid="{00000000-0004-0000-0000-000005000000}"/>
    <hyperlink ref="L6" location="'Applications'!A4" display="'Applications'!A4" xr:uid="{00000000-0004-0000-0000-000006000000}"/>
    <hyperlink ref="O6" location="'Applications'!J4" display="Not Started" xr:uid="{00000000-0004-0000-0000-000007000000}"/>
    <hyperlink ref="O7" location="'Applications'!J4" display="In Progress" xr:uid="{00000000-0004-0000-0000-000008000000}"/>
    <hyperlink ref="O8" location="'Applications'!J4" display="Submitted" xr:uid="{00000000-0004-0000-0000-000009000000}"/>
    <hyperlink ref="O9" location="'Applications'!J4" display="Interview" xr:uid="{00000000-0004-0000-0000-00000A000000}"/>
    <hyperlink ref="O10" location="'Applications'!J4" display="Accepted" xr:uid="{00000000-0004-0000-0000-00000B000000}"/>
    <hyperlink ref="O11" location="'Applications'!J4" display="Rejected" xr:uid="{00000000-0004-0000-0000-00000C000000}"/>
    <hyperlink ref="O14" location="'Applications'!C4" display="Belgium" xr:uid="{00000000-0004-0000-0000-00000D000000}"/>
    <hyperlink ref="O15" location="'Applications'!C4" display="Canada" xr:uid="{00000000-0004-0000-0000-00000E000000}"/>
    <hyperlink ref="O16" location="'Applications'!C4" display="Germany" xr:uid="{00000000-0004-0000-0000-00000F000000}"/>
    <hyperlink ref="O17" location="'Applications'!C4" display="Italy" xr:uid="{00000000-0004-0000-0000-000010000000}"/>
    <hyperlink ref="O18" location="'Applications'!C4" display="Netherlands" xr:uid="{00000000-0004-0000-0000-000011000000}"/>
    <hyperlink ref="O19" location="'Applications'!C4" display="Norway" xr:uid="{00000000-0004-0000-0000-000012000000}"/>
    <hyperlink ref="O20" location="'Applications'!C4" display="Sweden" xr:uid="{00000000-0004-0000-0000-000013000000}"/>
    <hyperlink ref="O21" location="'Applications'!C4" display="Switzerland" xr:uid="{00000000-0004-0000-0000-000014000000}"/>
    <hyperlink ref="I29" location="'Applications'!A1" display="▶  Applications" xr:uid="{00000000-0004-0000-0000-000015000000}"/>
    <hyperlink ref="I30" location="'Universities%20&amp;%20Supervisors'!A1" display="▶  Universities &amp; Supervisors" xr:uid="{00000000-0004-0000-0000-000016000000}"/>
    <hyperlink ref="I31" location="'Explorer'!A1" display="▶  Explorer (interactive filter)" xr:uid="{00000000-0004-0000-0000-000017000000}"/>
    <hyperlink ref="I32" location="'Scoring'!A1" display="▶  Scoring (radar inputs)" xr:uid="{00000000-0004-0000-0000-000018000000}"/>
    <hyperlink ref="I33" location="'How%20It%20Works'!A1" display="▶  How It Works" xr:uid="{00000000-0004-0000-0000-000019000000}"/>
    <hyperlink ref="C39" r:id="rId2" xr:uid="{00000000-0004-0000-0000-00001A000000}"/>
    <hyperlink ref="C40" r:id="rId3" xr:uid="{00000000-0004-0000-0000-00001B000000}"/>
    <hyperlink ref="C40:H40" r:id="rId4" display="Apply Abroad Lab" xr:uid="{34F99BAA-825C-454B-9850-6244CA404AD9}"/>
  </hyperlinks>
  <pageMargins left="0.75" right="0.75" top="1" bottom="1" header="0.511811023622047" footer="0.511811023622047"/>
  <pageSetup paperSize="9" orientation="portrait" horizontalDpi="300" verticalDpi="300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3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P1"/>
    </sheetView>
  </sheetViews>
  <sheetFormatPr defaultColWidth="8.6640625" defaultRowHeight="14.4" x14ac:dyDescent="0.3"/>
  <cols>
    <col min="1" max="1" width="6" customWidth="1"/>
    <col min="2" max="2" width="30" customWidth="1"/>
    <col min="3" max="3" width="13" customWidth="1"/>
    <col min="4" max="4" width="30" customWidth="1"/>
    <col min="5" max="5" width="20" customWidth="1"/>
    <col min="6" max="6" width="10" customWidth="1"/>
    <col min="7" max="7" width="22" customWidth="1"/>
    <col min="8" max="8" width="13" customWidth="1"/>
    <col min="9" max="9" width="12" customWidth="1"/>
    <col min="10" max="10" width="13" customWidth="1"/>
    <col min="11" max="11" width="10" customWidth="1"/>
    <col min="12" max="12" width="11" customWidth="1"/>
    <col min="13" max="13" width="24" customWidth="1"/>
    <col min="14" max="14" width="12" customWidth="1"/>
    <col min="15" max="15" width="13" customWidth="1"/>
    <col min="16" max="16" width="40" customWidth="1"/>
    <col min="17" max="18" width="10" hidden="1" customWidth="1"/>
  </cols>
  <sheetData>
    <row r="1" spans="1:18" ht="24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</row>
    <row r="2" spans="1:18" x14ac:dyDescent="0.3">
      <c r="A2" s="1" t="s">
        <v>49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48" t="s">
        <v>50</v>
      </c>
      <c r="P2" s="48"/>
    </row>
    <row r="3" spans="1:18" ht="30" customHeight="1" x14ac:dyDescent="0.3">
      <c r="A3" s="23" t="s">
        <v>51</v>
      </c>
      <c r="B3" s="23" t="s">
        <v>32</v>
      </c>
      <c r="C3" s="23" t="s">
        <v>20</v>
      </c>
      <c r="D3" s="23" t="s">
        <v>33</v>
      </c>
      <c r="E3" s="23" t="s">
        <v>52</v>
      </c>
      <c r="F3" s="23" t="s">
        <v>53</v>
      </c>
      <c r="G3" s="23" t="s">
        <v>54</v>
      </c>
      <c r="H3" s="23" t="s">
        <v>34</v>
      </c>
      <c r="I3" s="23" t="s">
        <v>55</v>
      </c>
      <c r="J3" s="23" t="s">
        <v>9</v>
      </c>
      <c r="K3" s="23" t="s">
        <v>56</v>
      </c>
      <c r="L3" s="23" t="s">
        <v>57</v>
      </c>
      <c r="M3" s="23" t="s">
        <v>58</v>
      </c>
      <c r="N3" s="23" t="s">
        <v>59</v>
      </c>
      <c r="O3" s="23" t="s">
        <v>60</v>
      </c>
      <c r="P3" s="23" t="s">
        <v>61</v>
      </c>
      <c r="Q3" s="23" t="s">
        <v>62</v>
      </c>
      <c r="R3" s="23" t="s">
        <v>63</v>
      </c>
    </row>
    <row r="4" spans="1:18" ht="19.5" customHeight="1" x14ac:dyDescent="0.3">
      <c r="A4" s="24">
        <v>1</v>
      </c>
      <c r="B4" s="24" t="s">
        <v>64</v>
      </c>
      <c r="C4" s="25" t="str">
        <f>IFERROR(INDEX('Universities &amp; Supervisors'!$B$4:$B$23,MATCH(B4,'Universities &amp; Supervisors'!$A$4:$A$23,0)),"")</f>
        <v>Germany</v>
      </c>
      <c r="D4" s="26" t="s">
        <v>65</v>
      </c>
      <c r="E4" s="24" t="s">
        <v>66</v>
      </c>
      <c r="F4" s="24" t="s">
        <v>67</v>
      </c>
      <c r="G4" s="27" t="str">
        <f>IFERROR(HYPERLINK("#'Universities &amp; Supervisors'!A"&amp;(MATCH(B4,'Universities &amp; Supervisors'!$A$4:$A$23,0)+3),INDEX('Universities &amp; Supervisors'!$E$4:$E$23,MATCH(B4,'Universities &amp; Supervisors'!$A$4:$A$23,0))),"")</f>
        <v>Prof. Lena Hartmann</v>
      </c>
      <c r="H4" s="28">
        <v>46300</v>
      </c>
      <c r="I4" s="29">
        <f t="shared" ref="I4:I23" ca="1" si="0">IF(H4="","",H4-TODAY())</f>
        <v>13</v>
      </c>
      <c r="J4" s="24" t="s">
        <v>12</v>
      </c>
      <c r="K4" s="24" t="s">
        <v>68</v>
      </c>
      <c r="L4" s="24">
        <v>9</v>
      </c>
      <c r="M4" s="25" t="str">
        <f>IFERROR(INDEX('Universities &amp; Supervisors'!$H$4:$H$23,MATCH(B4,'Universities &amp; Supervisors'!$A$4:$A$23,0)),"")</f>
        <v>Fully funded (DFG)</v>
      </c>
      <c r="N4" s="30">
        <v>0.8</v>
      </c>
      <c r="O4" s="28">
        <v>46280</v>
      </c>
      <c r="P4" s="26" t="s">
        <v>69</v>
      </c>
      <c r="Q4" s="24">
        <f t="shared" ref="Q4:Q23" ca="1" si="1">IF(AND(I4&lt;&gt;"",I4&gt;=0,I4&lt;=30),I4+ROW()/100000,"")</f>
        <v>13.00004</v>
      </c>
      <c r="R4" s="24">
        <f>IF(AND(OR(Explorer!$C$4="All",C4=Explorer!$C$4),OR(Explorer!$C$5="All",J4=Explorer!$C$5),OR(Explorer!$C$6="All",K4=Explorer!$C$6)),MAX($R$3:R3)+1,"")</f>
        <v>1</v>
      </c>
    </row>
    <row r="5" spans="1:18" ht="19.5" customHeight="1" x14ac:dyDescent="0.3">
      <c r="A5" s="24">
        <v>2</v>
      </c>
      <c r="B5" s="24" t="s">
        <v>70</v>
      </c>
      <c r="C5" s="25" t="str">
        <f>IFERROR(INDEX('Universities &amp; Supervisors'!$B$4:$B$23,MATCH(B5,'Universities &amp; Supervisors'!$A$4:$A$23,0)),"")</f>
        <v>Germany</v>
      </c>
      <c r="D5" s="26" t="s">
        <v>71</v>
      </c>
      <c r="E5" s="24" t="s">
        <v>72</v>
      </c>
      <c r="F5" s="24" t="s">
        <v>67</v>
      </c>
      <c r="G5" s="27" t="str">
        <f>IFERROR(HYPERLINK("#'Universities &amp; Supervisors'!A"&amp;(MATCH(B5,'Universities &amp; Supervisors'!$A$4:$A$23,0)+3),INDEX('Universities &amp; Supervisors'!$E$4:$E$23,MATCH(B5,'Universities &amp; Supervisors'!$A$4:$A$23,0))),"")</f>
        <v>Prof. Jonas Weber</v>
      </c>
      <c r="H5" s="28">
        <v>46341</v>
      </c>
      <c r="I5" s="29">
        <f t="shared" ca="1" si="0"/>
        <v>54</v>
      </c>
      <c r="J5" s="24" t="s">
        <v>12</v>
      </c>
      <c r="K5" s="24" t="s">
        <v>68</v>
      </c>
      <c r="L5" s="24">
        <v>8</v>
      </c>
      <c r="M5" s="25" t="str">
        <f>IFERROR(INDEX('Universities &amp; Supervisors'!$H$4:$H$23,MATCH(B5,'Universities &amp; Supervisors'!$A$4:$A$23,0)),"")</f>
        <v>Fully funded (DKFZ)</v>
      </c>
      <c r="N5" s="30">
        <v>0.6</v>
      </c>
      <c r="O5" s="28">
        <v>46275</v>
      </c>
      <c r="P5" s="26" t="s">
        <v>73</v>
      </c>
      <c r="Q5" s="24" t="str">
        <f t="shared" ca="1" si="1"/>
        <v/>
      </c>
      <c r="R5" s="24">
        <f>IF(AND(OR(Explorer!$C$4="All",C5=Explorer!$C$4),OR(Explorer!$C$5="All",J5=Explorer!$C$5),OR(Explorer!$C$6="All",K5=Explorer!$C$6)),MAX($R$3:R4)+1,"")</f>
        <v>2</v>
      </c>
    </row>
    <row r="6" spans="1:18" ht="19.5" customHeight="1" x14ac:dyDescent="0.3">
      <c r="A6" s="24">
        <v>3</v>
      </c>
      <c r="B6" s="24" t="s">
        <v>74</v>
      </c>
      <c r="C6" s="25" t="str">
        <f>IFERROR(INDEX('Universities &amp; Supervisors'!$B$4:$B$23,MATCH(B6,'Universities &amp; Supervisors'!$A$4:$A$23,0)),"")</f>
        <v>Germany</v>
      </c>
      <c r="D6" s="26" t="s">
        <v>75</v>
      </c>
      <c r="E6" s="24" t="s">
        <v>76</v>
      </c>
      <c r="F6" s="24" t="s">
        <v>67</v>
      </c>
      <c r="G6" s="27" t="str">
        <f>IFERROR(HYPERLINK("#'Universities &amp; Supervisors'!A"&amp;(MATCH(B6,'Universities &amp; Supervisors'!$A$4:$A$23,0)+3),INDEX('Universities &amp; Supervisors'!$E$4:$E$23,MATCH(B6,'Universities &amp; Supervisors'!$A$4:$A$23,0))),"")</f>
        <v>Prof. Katrin Vogel</v>
      </c>
      <c r="H6" s="28">
        <v>46418</v>
      </c>
      <c r="I6" s="29">
        <f t="shared" ca="1" si="0"/>
        <v>131</v>
      </c>
      <c r="J6" s="24" t="s">
        <v>11</v>
      </c>
      <c r="K6" s="24" t="s">
        <v>77</v>
      </c>
      <c r="L6" s="24">
        <v>7</v>
      </c>
      <c r="M6" s="25" t="str">
        <f>IFERROR(INDEX('Universities &amp; Supervisors'!$H$4:$H$23,MATCH(B6,'Universities &amp; Supervisors'!$A$4:$A$23,0)),"")</f>
        <v>Fully funded (Institute)</v>
      </c>
      <c r="N6" s="30">
        <v>0.2</v>
      </c>
      <c r="O6" s="28"/>
      <c r="P6" s="26" t="s">
        <v>78</v>
      </c>
      <c r="Q6" s="24" t="str">
        <f t="shared" ca="1" si="1"/>
        <v/>
      </c>
      <c r="R6" s="24">
        <f>IF(AND(OR(Explorer!$C$4="All",C6=Explorer!$C$4),OR(Explorer!$C$5="All",J6=Explorer!$C$5),OR(Explorer!$C$6="All",K6=Explorer!$C$6)),MAX($R$3:R5)+1,"")</f>
        <v>3</v>
      </c>
    </row>
    <row r="7" spans="1:18" ht="19.5" customHeight="1" x14ac:dyDescent="0.3">
      <c r="A7" s="24">
        <v>4</v>
      </c>
      <c r="B7" s="24" t="s">
        <v>79</v>
      </c>
      <c r="C7" s="25" t="str">
        <f>IFERROR(INDEX('Universities &amp; Supervisors'!$B$4:$B$23,MATCH(B7,'Universities &amp; Supervisors'!$A$4:$A$23,0)),"")</f>
        <v>Netherlands</v>
      </c>
      <c r="D7" s="26" t="s">
        <v>80</v>
      </c>
      <c r="E7" s="24" t="s">
        <v>81</v>
      </c>
      <c r="F7" s="24" t="s">
        <v>67</v>
      </c>
      <c r="G7" s="27" t="str">
        <f>IFERROR(HYPERLINK("#'Universities &amp; Supervisors'!A"&amp;(MATCH(B7,'Universities &amp; Supervisors'!$A$4:$A$23,0)+3),INDEX('Universities &amp; Supervisors'!$E$4:$E$23,MATCH(B7,'Universities &amp; Supervisors'!$A$4:$A$23,0))),"")</f>
        <v>Dr. Pieter de Vries</v>
      </c>
      <c r="H7" s="28">
        <v>46307</v>
      </c>
      <c r="I7" s="29">
        <f t="shared" ca="1" si="0"/>
        <v>20</v>
      </c>
      <c r="J7" s="24" t="s">
        <v>16</v>
      </c>
      <c r="K7" s="24" t="s">
        <v>68</v>
      </c>
      <c r="L7" s="24">
        <v>9</v>
      </c>
      <c r="M7" s="25" t="str">
        <f>IFERROR(INDEX('Universities &amp; Supervisors'!$H$4:$H$23,MATCH(B7,'Universities &amp; Supervisors'!$A$4:$A$23,0)),"")</f>
        <v>Fully funded (University)</v>
      </c>
      <c r="N7" s="30">
        <v>1</v>
      </c>
      <c r="O7" s="28">
        <v>46267</v>
      </c>
      <c r="P7" s="26" t="s">
        <v>82</v>
      </c>
      <c r="Q7" s="24">
        <f t="shared" ca="1" si="1"/>
        <v>20.000070000000001</v>
      </c>
      <c r="R7" s="24">
        <f>IF(AND(OR(Explorer!$C$4="All",C7=Explorer!$C$4),OR(Explorer!$C$5="All",J7=Explorer!$C$5),OR(Explorer!$C$6="All",K7=Explorer!$C$6)),MAX($R$3:R6)+1,"")</f>
        <v>4</v>
      </c>
    </row>
    <row r="8" spans="1:18" ht="19.5" customHeight="1" x14ac:dyDescent="0.3">
      <c r="A8" s="24">
        <v>5</v>
      </c>
      <c r="B8" s="24" t="s">
        <v>83</v>
      </c>
      <c r="C8" s="25" t="str">
        <f>IFERROR(INDEX('Universities &amp; Supervisors'!$B$4:$B$23,MATCH(B8,'Universities &amp; Supervisors'!$A$4:$A$23,0)),"")</f>
        <v>Netherlands</v>
      </c>
      <c r="D8" s="26" t="s">
        <v>84</v>
      </c>
      <c r="E8" s="24" t="s">
        <v>85</v>
      </c>
      <c r="F8" s="24" t="s">
        <v>67</v>
      </c>
      <c r="G8" s="27" t="str">
        <f>IFERROR(HYPERLINK("#'Universities &amp; Supervisors'!A"&amp;(MATCH(B8,'Universities &amp; Supervisors'!$A$4:$A$23,0)+3),INDEX('Universities &amp; Supervisors'!$E$4:$E$23,MATCH(B8,'Universities &amp; Supervisors'!$A$4:$A$23,0))),"")</f>
        <v>Dr. Sanne Bakker</v>
      </c>
      <c r="H8" s="28">
        <v>46313</v>
      </c>
      <c r="I8" s="29">
        <f t="shared" ca="1" si="0"/>
        <v>26</v>
      </c>
      <c r="J8" s="24" t="s">
        <v>17</v>
      </c>
      <c r="K8" s="24" t="s">
        <v>68</v>
      </c>
      <c r="L8" s="24">
        <v>8</v>
      </c>
      <c r="M8" s="25" t="str">
        <f>IFERROR(INDEX('Universities &amp; Supervisors'!$H$4:$H$23,MATCH(B8,'Universities &amp; Supervisors'!$A$4:$A$23,0)),"")</f>
        <v>Fully funded (NWO)</v>
      </c>
      <c r="N8" s="30">
        <v>1</v>
      </c>
      <c r="O8" s="28">
        <v>46283</v>
      </c>
      <c r="P8" s="26" t="s">
        <v>86</v>
      </c>
      <c r="Q8" s="24">
        <f t="shared" ca="1" si="1"/>
        <v>26.000080000000001</v>
      </c>
      <c r="R8" s="24">
        <f>IF(AND(OR(Explorer!$C$4="All",C8=Explorer!$C$4),OR(Explorer!$C$5="All",J8=Explorer!$C$5),OR(Explorer!$C$6="All",K8=Explorer!$C$6)),MAX($R$3:R7)+1,"")</f>
        <v>5</v>
      </c>
    </row>
    <row r="9" spans="1:18" ht="19.5" customHeight="1" x14ac:dyDescent="0.3">
      <c r="A9" s="24">
        <v>6</v>
      </c>
      <c r="B9" s="24" t="s">
        <v>87</v>
      </c>
      <c r="C9" s="25" t="str">
        <f>IFERROR(INDEX('Universities &amp; Supervisors'!$B$4:$B$23,MATCH(B9,'Universities &amp; Supervisors'!$A$4:$A$23,0)),"")</f>
        <v>Netherlands</v>
      </c>
      <c r="D9" s="26" t="s">
        <v>88</v>
      </c>
      <c r="E9" s="24" t="s">
        <v>89</v>
      </c>
      <c r="F9" s="24" t="s">
        <v>67</v>
      </c>
      <c r="G9" s="27" t="str">
        <f>IFERROR(HYPERLINK("#'Universities &amp; Supervisors'!A"&amp;(MATCH(B9,'Universities &amp; Supervisors'!$A$4:$A$23,0)+3),INDEX('Universities &amp; Supervisors'!$E$4:$E$23,MATCH(B9,'Universities &amp; Supervisors'!$A$4:$A$23,0))),"")</f>
        <v>Prof. Joris van Dijk</v>
      </c>
      <c r="H9" s="28">
        <v>46357</v>
      </c>
      <c r="I9" s="29">
        <f t="shared" ca="1" si="0"/>
        <v>70</v>
      </c>
      <c r="J9" s="24" t="s">
        <v>12</v>
      </c>
      <c r="K9" s="24" t="s">
        <v>77</v>
      </c>
      <c r="L9" s="24">
        <v>8</v>
      </c>
      <c r="M9" s="25" t="str">
        <f>IFERROR(INDEX('Universities &amp; Supervisors'!$H$4:$H$23,MATCH(B9,'Universities &amp; Supervisors'!$A$4:$A$23,0)),"")</f>
        <v>Fully funded (University)</v>
      </c>
      <c r="N9" s="30">
        <v>0.7</v>
      </c>
      <c r="O9" s="28">
        <v>46277</v>
      </c>
      <c r="P9" s="26" t="s">
        <v>90</v>
      </c>
      <c r="Q9" s="24" t="str">
        <f t="shared" ca="1" si="1"/>
        <v/>
      </c>
      <c r="R9" s="24">
        <f>IF(AND(OR(Explorer!$C$4="All",C9=Explorer!$C$4),OR(Explorer!$C$5="All",J9=Explorer!$C$5),OR(Explorer!$C$6="All",K9=Explorer!$C$6)),MAX($R$3:R8)+1,"")</f>
        <v>6</v>
      </c>
    </row>
    <row r="10" spans="1:18" ht="19.5" customHeight="1" x14ac:dyDescent="0.3">
      <c r="A10" s="24">
        <v>7</v>
      </c>
      <c r="B10" s="24" t="s">
        <v>91</v>
      </c>
      <c r="C10" s="25" t="str">
        <f>IFERROR(INDEX('Universities &amp; Supervisors'!$B$4:$B$23,MATCH(B10,'Universities &amp; Supervisors'!$A$4:$A$23,0)),"")</f>
        <v>Netherlands</v>
      </c>
      <c r="D10" s="26" t="s">
        <v>92</v>
      </c>
      <c r="E10" s="24" t="s">
        <v>93</v>
      </c>
      <c r="F10" s="24" t="s">
        <v>67</v>
      </c>
      <c r="G10" s="27" t="str">
        <f>IFERROR(HYPERLINK("#'Universities &amp; Supervisors'!A"&amp;(MATCH(B10,'Universities &amp; Supervisors'!$A$4:$A$23,0)+3),INDEX('Universities &amp; Supervisors'!$E$4:$E$23,MATCH(B10,'Universities &amp; Supervisors'!$A$4:$A$23,0))),"")</f>
        <v>Dr. Femke Jansen</v>
      </c>
      <c r="H10" s="28">
        <v>46371</v>
      </c>
      <c r="I10" s="29">
        <f t="shared" ca="1" si="0"/>
        <v>84</v>
      </c>
      <c r="J10" s="24" t="s">
        <v>11</v>
      </c>
      <c r="K10" s="24" t="s">
        <v>94</v>
      </c>
      <c r="L10" s="24">
        <v>6</v>
      </c>
      <c r="M10" s="25" t="str">
        <f>IFERROR(INDEX('Universities &amp; Supervisors'!$H$4:$H$23,MATCH(B10,'Universities &amp; Supervisors'!$A$4:$A$23,0)),"")</f>
        <v>Fully funded (University)</v>
      </c>
      <c r="N10" s="30">
        <v>0.1</v>
      </c>
      <c r="O10" s="28"/>
      <c r="P10" s="26" t="s">
        <v>95</v>
      </c>
      <c r="Q10" s="24" t="str">
        <f t="shared" ca="1" si="1"/>
        <v/>
      </c>
      <c r="R10" s="24">
        <f>IF(AND(OR(Explorer!$C$4="All",C10=Explorer!$C$4),OR(Explorer!$C$5="All",J10=Explorer!$C$5),OR(Explorer!$C$6="All",K10=Explorer!$C$6)),MAX($R$3:R9)+1,"")</f>
        <v>7</v>
      </c>
    </row>
    <row r="11" spans="1:18" ht="19.5" customHeight="1" x14ac:dyDescent="0.3">
      <c r="A11" s="24">
        <v>8</v>
      </c>
      <c r="B11" s="24" t="s">
        <v>96</v>
      </c>
      <c r="C11" s="25" t="str">
        <f>IFERROR(INDEX('Universities &amp; Supervisors'!$B$4:$B$23,MATCH(B11,'Universities &amp; Supervisors'!$A$4:$A$23,0)),"")</f>
        <v>Sweden</v>
      </c>
      <c r="D11" s="26" t="s">
        <v>97</v>
      </c>
      <c r="E11" s="24" t="s">
        <v>98</v>
      </c>
      <c r="F11" s="24" t="s">
        <v>99</v>
      </c>
      <c r="G11" s="27" t="str">
        <f>IFERROR(HYPERLINK("#'Universities &amp; Supervisors'!A"&amp;(MATCH(B11,'Universities &amp; Supervisors'!$A$4:$A$23,0)+3),INDEX('Universities &amp; Supervisors'!$E$4:$E$23,MATCH(B11,'Universities &amp; Supervisors'!$A$4:$A$23,0))),"")</f>
        <v>Prof. Anna Lindqvist</v>
      </c>
      <c r="H11" s="28">
        <v>46315</v>
      </c>
      <c r="I11" s="29">
        <f t="shared" ca="1" si="0"/>
        <v>28</v>
      </c>
      <c r="J11" s="24" t="s">
        <v>16</v>
      </c>
      <c r="K11" s="24" t="s">
        <v>68</v>
      </c>
      <c r="L11" s="24">
        <v>9</v>
      </c>
      <c r="M11" s="25" t="str">
        <f>IFERROR(INDEX('Universities &amp; Supervisors'!$H$4:$H$23,MATCH(B11,'Universities &amp; Supervisors'!$A$4:$A$23,0)),"")</f>
        <v>Fully funded (KI)</v>
      </c>
      <c r="N11" s="30">
        <v>1</v>
      </c>
      <c r="O11" s="28">
        <v>46270</v>
      </c>
      <c r="P11" s="26" t="s">
        <v>100</v>
      </c>
      <c r="Q11" s="24">
        <f t="shared" ca="1" si="1"/>
        <v>28.000109999999999</v>
      </c>
      <c r="R11" s="24">
        <f>IF(AND(OR(Explorer!$C$4="All",C11=Explorer!$C$4),OR(Explorer!$C$5="All",J11=Explorer!$C$5),OR(Explorer!$C$6="All",K11=Explorer!$C$6)),MAX($R$3:R10)+1,"")</f>
        <v>8</v>
      </c>
    </row>
    <row r="12" spans="1:18" ht="19.5" customHeight="1" x14ac:dyDescent="0.3">
      <c r="A12" s="24">
        <v>9</v>
      </c>
      <c r="B12" s="24" t="s">
        <v>101</v>
      </c>
      <c r="C12" s="25" t="str">
        <f>IFERROR(INDEX('Universities &amp; Supervisors'!$B$4:$B$23,MATCH(B12,'Universities &amp; Supervisors'!$A$4:$A$23,0)),"")</f>
        <v>Sweden</v>
      </c>
      <c r="D12" s="26" t="s">
        <v>102</v>
      </c>
      <c r="E12" s="24" t="s">
        <v>103</v>
      </c>
      <c r="F12" s="24" t="s">
        <v>67</v>
      </c>
      <c r="G12" s="27" t="str">
        <f>IFERROR(HYPERLINK("#'Universities &amp; Supervisors'!A"&amp;(MATCH(B12,'Universities &amp; Supervisors'!$A$4:$A$23,0)+3),INDEX('Universities &amp; Supervisors'!$E$4:$E$23,MATCH(B12,'Universities &amp; Supervisors'!$A$4:$A$23,0))),"")</f>
        <v>Dr. Erik Johansson</v>
      </c>
      <c r="H12" s="28">
        <v>46356</v>
      </c>
      <c r="I12" s="29">
        <f t="shared" ca="1" si="0"/>
        <v>69</v>
      </c>
      <c r="J12" s="24" t="s">
        <v>12</v>
      </c>
      <c r="K12" s="24" t="s">
        <v>68</v>
      </c>
      <c r="L12" s="24">
        <v>8</v>
      </c>
      <c r="M12" s="25" t="str">
        <f>IFERROR(INDEX('Universities &amp; Supervisors'!$H$4:$H$23,MATCH(B12,'Universities &amp; Supervisors'!$A$4:$A$23,0)),"")</f>
        <v>Fully funded (WASP)</v>
      </c>
      <c r="N12" s="30">
        <v>0.5</v>
      </c>
      <c r="O12" s="28">
        <v>46273</v>
      </c>
      <c r="P12" s="26" t="s">
        <v>104</v>
      </c>
      <c r="Q12" s="24" t="str">
        <f t="shared" ca="1" si="1"/>
        <v/>
      </c>
      <c r="R12" s="24">
        <f>IF(AND(OR(Explorer!$C$4="All",C12=Explorer!$C$4),OR(Explorer!$C$5="All",J12=Explorer!$C$5),OR(Explorer!$C$6="All",K12=Explorer!$C$6)),MAX($R$3:R11)+1,"")</f>
        <v>9</v>
      </c>
    </row>
    <row r="13" spans="1:18" ht="19.5" customHeight="1" x14ac:dyDescent="0.3">
      <c r="A13" s="24">
        <v>10</v>
      </c>
      <c r="B13" s="24" t="s">
        <v>105</v>
      </c>
      <c r="C13" s="25" t="str">
        <f>IFERROR(INDEX('Universities &amp; Supervisors'!$B$4:$B$23,MATCH(B13,'Universities &amp; Supervisors'!$A$4:$A$23,0)),"")</f>
        <v>Sweden</v>
      </c>
      <c r="D13" s="26" t="s">
        <v>106</v>
      </c>
      <c r="E13" s="24" t="s">
        <v>107</v>
      </c>
      <c r="F13" s="24" t="s">
        <v>67</v>
      </c>
      <c r="G13" s="27" t="str">
        <f>IFERROR(HYPERLINK("#'Universities &amp; Supervisors'!A"&amp;(MATCH(B13,'Universities &amp; Supervisors'!$A$4:$A$23,0)+3),INDEX('Universities &amp; Supervisors'!$E$4:$E$23,MATCH(B13,'Universities &amp; Supervisors'!$A$4:$A$23,0))),"")</f>
        <v>Prof. Karin Svensson</v>
      </c>
      <c r="H13" s="28">
        <v>46402</v>
      </c>
      <c r="I13" s="29">
        <f t="shared" ca="1" si="0"/>
        <v>115</v>
      </c>
      <c r="J13" s="24" t="s">
        <v>12</v>
      </c>
      <c r="K13" s="24" t="s">
        <v>77</v>
      </c>
      <c r="L13" s="24">
        <v>7</v>
      </c>
      <c r="M13" s="25" t="str">
        <f>IFERROR(INDEX('Universities &amp; Supervisors'!$H$4:$H$23,MATCH(B13,'Universities &amp; Supervisors'!$A$4:$A$23,0)),"")</f>
        <v>Fully funded (University)</v>
      </c>
      <c r="N13" s="30">
        <v>0.4</v>
      </c>
      <c r="O13" s="28">
        <v>46266</v>
      </c>
      <c r="P13" s="26" t="s">
        <v>108</v>
      </c>
      <c r="Q13" s="24" t="str">
        <f t="shared" ca="1" si="1"/>
        <v/>
      </c>
      <c r="R13" s="24">
        <f>IF(AND(OR(Explorer!$C$4="All",C13=Explorer!$C$4),OR(Explorer!$C$5="All",J13=Explorer!$C$5),OR(Explorer!$C$6="All",K13=Explorer!$C$6)),MAX($R$3:R12)+1,"")</f>
        <v>10</v>
      </c>
    </row>
    <row r="14" spans="1:18" ht="19.5" customHeight="1" x14ac:dyDescent="0.3">
      <c r="A14" s="24">
        <v>11</v>
      </c>
      <c r="B14" s="24" t="s">
        <v>109</v>
      </c>
      <c r="C14" s="25" t="str">
        <f>IFERROR(INDEX('Universities &amp; Supervisors'!$B$4:$B$23,MATCH(B14,'Universities &amp; Supervisors'!$A$4:$A$23,0)),"")</f>
        <v>Italy</v>
      </c>
      <c r="D14" s="26" t="s">
        <v>110</v>
      </c>
      <c r="E14" s="24" t="s">
        <v>111</v>
      </c>
      <c r="F14" s="24" t="s">
        <v>67</v>
      </c>
      <c r="G14" s="27" t="str">
        <f>IFERROR(HYPERLINK("#'Universities &amp; Supervisors'!A"&amp;(MATCH(B14,'Universities &amp; Supervisors'!$A$4:$A$23,0)+3),INDEX('Universities &amp; Supervisors'!$E$4:$E$23,MATCH(B14,'Universities &amp; Supervisors'!$A$4:$A$23,0))),"")</f>
        <v>Prof. Giulia Ferrari</v>
      </c>
      <c r="H14" s="28">
        <v>46446</v>
      </c>
      <c r="I14" s="29">
        <f t="shared" ca="1" si="0"/>
        <v>159</v>
      </c>
      <c r="J14" s="24" t="s">
        <v>11</v>
      </c>
      <c r="K14" s="24" t="s">
        <v>94</v>
      </c>
      <c r="L14" s="24">
        <v>6</v>
      </c>
      <c r="M14" s="25" t="str">
        <f>IFERROR(INDEX('Universities &amp; Supervisors'!$H$4:$H$23,MATCH(B14,'Universities &amp; Supervisors'!$A$4:$A$23,0)),"")</f>
        <v>Scholarship (Regional)</v>
      </c>
      <c r="N14" s="30">
        <v>0</v>
      </c>
      <c r="O14" s="28"/>
      <c r="P14" s="26" t="s">
        <v>112</v>
      </c>
      <c r="Q14" s="24" t="str">
        <f t="shared" ca="1" si="1"/>
        <v/>
      </c>
      <c r="R14" s="24">
        <f>IF(AND(OR(Explorer!$C$4="All",C14=Explorer!$C$4),OR(Explorer!$C$5="All",J14=Explorer!$C$5),OR(Explorer!$C$6="All",K14=Explorer!$C$6)),MAX($R$3:R13)+1,"")</f>
        <v>11</v>
      </c>
    </row>
    <row r="15" spans="1:18" ht="19.5" customHeight="1" x14ac:dyDescent="0.3">
      <c r="A15" s="24">
        <v>12</v>
      </c>
      <c r="B15" s="24" t="s">
        <v>113</v>
      </c>
      <c r="C15" s="25" t="str">
        <f>IFERROR(INDEX('Universities &amp; Supervisors'!$B$4:$B$23,MATCH(B15,'Universities &amp; Supervisors'!$A$4:$A$23,0)),"")</f>
        <v>Italy</v>
      </c>
      <c r="D15" s="26" t="s">
        <v>114</v>
      </c>
      <c r="E15" s="24" t="s">
        <v>115</v>
      </c>
      <c r="F15" s="24" t="s">
        <v>67</v>
      </c>
      <c r="G15" s="27" t="str">
        <f>IFERROR(HYPERLINK("#'Universities &amp; Supervisors'!A"&amp;(MATCH(B15,'Universities &amp; Supervisors'!$A$4:$A$23,0)+3),INDEX('Universities &amp; Supervisors'!$E$4:$E$23,MATCH(B15,'Universities &amp; Supervisors'!$A$4:$A$23,0))),"")</f>
        <v>Prof. Marco Rossi</v>
      </c>
      <c r="H15" s="28">
        <v>46461</v>
      </c>
      <c r="I15" s="29">
        <f t="shared" ca="1" si="0"/>
        <v>174</v>
      </c>
      <c r="J15" s="24" t="s">
        <v>12</v>
      </c>
      <c r="K15" s="24" t="s">
        <v>77</v>
      </c>
      <c r="L15" s="24">
        <v>7</v>
      </c>
      <c r="M15" s="25" t="str">
        <f>IFERROR(INDEX('Universities &amp; Supervisors'!$H$4:$H$23,MATCH(B15,'Universities &amp; Supervisors'!$A$4:$A$23,0)),"")</f>
        <v>Scholarship (University)</v>
      </c>
      <c r="N15" s="30">
        <v>0.3</v>
      </c>
      <c r="O15" s="28">
        <v>46262</v>
      </c>
      <c r="P15" s="26" t="s">
        <v>116</v>
      </c>
      <c r="Q15" s="24" t="str">
        <f t="shared" ca="1" si="1"/>
        <v/>
      </c>
      <c r="R15" s="24">
        <f>IF(AND(OR(Explorer!$C$4="All",C15=Explorer!$C$4),OR(Explorer!$C$5="All",J15=Explorer!$C$5),OR(Explorer!$C$6="All",K15=Explorer!$C$6)),MAX($R$3:R14)+1,"")</f>
        <v>12</v>
      </c>
    </row>
    <row r="16" spans="1:18" ht="19.5" customHeight="1" x14ac:dyDescent="0.3">
      <c r="A16" s="24">
        <v>13</v>
      </c>
      <c r="B16" s="24" t="s">
        <v>117</v>
      </c>
      <c r="C16" s="25" t="str">
        <f>IFERROR(INDEX('Universities &amp; Supervisors'!$B$4:$B$23,MATCH(B16,'Universities &amp; Supervisors'!$A$4:$A$23,0)),"")</f>
        <v>Belgium</v>
      </c>
      <c r="D16" s="26" t="s">
        <v>118</v>
      </c>
      <c r="E16" s="24" t="s">
        <v>107</v>
      </c>
      <c r="F16" s="24" t="s">
        <v>67</v>
      </c>
      <c r="G16" s="27" t="str">
        <f>IFERROR(HYPERLINK("#'Universities &amp; Supervisors'!A"&amp;(MATCH(B16,'Universities &amp; Supervisors'!$A$4:$A$23,0)+3),INDEX('Universities &amp; Supervisors'!$E$4:$E$23,MATCH(B16,'Universities &amp; Supervisors'!$A$4:$A$23,0))),"")</f>
        <v>Prof. Bram Peeters</v>
      </c>
      <c r="H16" s="28">
        <v>46336</v>
      </c>
      <c r="I16" s="29">
        <f t="shared" ca="1" si="0"/>
        <v>49</v>
      </c>
      <c r="J16" s="24" t="s">
        <v>12</v>
      </c>
      <c r="K16" s="24" t="s">
        <v>68</v>
      </c>
      <c r="L16" s="24">
        <v>8</v>
      </c>
      <c r="M16" s="25" t="str">
        <f>IFERROR(INDEX('Universities &amp; Supervisors'!$H$4:$H$23,MATCH(B16,'Universities &amp; Supervisors'!$A$4:$A$23,0)),"")</f>
        <v>Fully funded (FWO)</v>
      </c>
      <c r="N16" s="30">
        <v>0.65</v>
      </c>
      <c r="O16" s="28">
        <v>46279</v>
      </c>
      <c r="P16" s="26" t="s">
        <v>119</v>
      </c>
      <c r="Q16" s="24" t="str">
        <f t="shared" ca="1" si="1"/>
        <v/>
      </c>
      <c r="R16" s="24">
        <f>IF(AND(OR(Explorer!$C$4="All",C16=Explorer!$C$4),OR(Explorer!$C$5="All",J16=Explorer!$C$5),OR(Explorer!$C$6="All",K16=Explorer!$C$6)),MAX($R$3:R15)+1,"")</f>
        <v>13</v>
      </c>
    </row>
    <row r="17" spans="1:18" ht="19.5" customHeight="1" x14ac:dyDescent="0.3">
      <c r="A17" s="24">
        <v>14</v>
      </c>
      <c r="B17" s="24" t="s">
        <v>120</v>
      </c>
      <c r="C17" s="25" t="str">
        <f>IFERROR(INDEX('Universities &amp; Supervisors'!$B$4:$B$23,MATCH(B17,'Universities &amp; Supervisors'!$A$4:$A$23,0)),"")</f>
        <v>Belgium</v>
      </c>
      <c r="D17" s="26" t="s">
        <v>121</v>
      </c>
      <c r="E17" s="24" t="s">
        <v>93</v>
      </c>
      <c r="F17" s="24" t="s">
        <v>67</v>
      </c>
      <c r="G17" s="27" t="str">
        <f>IFERROR(HYPERLINK("#'Universities &amp; Supervisors'!A"&amp;(MATCH(B17,'Universities &amp; Supervisors'!$A$4:$A$23,0)+3),INDEX('Universities &amp; Supervisors'!$E$4:$E$23,MATCH(B17,'Universities &amp; Supervisors'!$A$4:$A$23,0))),"")</f>
        <v>Dr. Elise Claes</v>
      </c>
      <c r="H17" s="28">
        <v>46376</v>
      </c>
      <c r="I17" s="29">
        <f t="shared" ca="1" si="0"/>
        <v>89</v>
      </c>
      <c r="J17" s="24" t="s">
        <v>16</v>
      </c>
      <c r="K17" s="24" t="s">
        <v>77</v>
      </c>
      <c r="L17" s="24">
        <v>7</v>
      </c>
      <c r="M17" s="25" t="str">
        <f>IFERROR(INDEX('Universities &amp; Supervisors'!$H$4:$H$23,MATCH(B17,'Universities &amp; Supervisors'!$A$4:$A$23,0)),"")</f>
        <v>Fully funded (BOF)</v>
      </c>
      <c r="N17" s="30">
        <v>1</v>
      </c>
      <c r="O17" s="28">
        <v>46268</v>
      </c>
      <c r="P17" s="26" t="s">
        <v>122</v>
      </c>
      <c r="Q17" s="24" t="str">
        <f t="shared" ca="1" si="1"/>
        <v/>
      </c>
      <c r="R17" s="24">
        <f>IF(AND(OR(Explorer!$C$4="All",C17=Explorer!$C$4),OR(Explorer!$C$5="All",J17=Explorer!$C$5),OR(Explorer!$C$6="All",K17=Explorer!$C$6)),MAX($R$3:R16)+1,"")</f>
        <v>14</v>
      </c>
    </row>
    <row r="18" spans="1:18" ht="19.5" customHeight="1" x14ac:dyDescent="0.3">
      <c r="A18" s="24">
        <v>15</v>
      </c>
      <c r="B18" s="24" t="s">
        <v>123</v>
      </c>
      <c r="C18" s="25" t="str">
        <f>IFERROR(INDEX('Universities &amp; Supervisors'!$B$4:$B$23,MATCH(B18,'Universities &amp; Supervisors'!$A$4:$A$23,0)),"")</f>
        <v>Switzerland</v>
      </c>
      <c r="D18" s="26" t="s">
        <v>124</v>
      </c>
      <c r="E18" s="24" t="s">
        <v>103</v>
      </c>
      <c r="F18" s="24" t="s">
        <v>67</v>
      </c>
      <c r="G18" s="27" t="str">
        <f>IFERROR(HYPERLINK("#'Universities &amp; Supervisors'!A"&amp;(MATCH(B18,'Universities &amp; Supervisors'!$A$4:$A$23,0)+3),INDEX('Universities &amp; Supervisors'!$E$4:$E$23,MATCH(B18,'Universities &amp; Supervisors'!$A$4:$A$23,0))),"")</f>
        <v>Prof. Daniel Meier</v>
      </c>
      <c r="H18" s="28">
        <v>46366</v>
      </c>
      <c r="I18" s="29">
        <f t="shared" ca="1" si="0"/>
        <v>79</v>
      </c>
      <c r="J18" s="24" t="s">
        <v>11</v>
      </c>
      <c r="K18" s="24" t="s">
        <v>77</v>
      </c>
      <c r="L18" s="24">
        <v>9</v>
      </c>
      <c r="M18" s="25" t="str">
        <f>IFERROR(INDEX('Universities &amp; Supervisors'!$H$4:$H$23,MATCH(B18,'Universities &amp; Supervisors'!$A$4:$A$23,0)),"")</f>
        <v>Fully funded (ETH)</v>
      </c>
      <c r="N18" s="30">
        <v>0.15</v>
      </c>
      <c r="O18" s="28"/>
      <c r="P18" s="26" t="s">
        <v>125</v>
      </c>
      <c r="Q18" s="24" t="str">
        <f t="shared" ca="1" si="1"/>
        <v/>
      </c>
      <c r="R18" s="24">
        <f>IF(AND(OR(Explorer!$C$4="All",C18=Explorer!$C$4),OR(Explorer!$C$5="All",J18=Explorer!$C$5),OR(Explorer!$C$6="All",K18=Explorer!$C$6)),MAX($R$3:R17)+1,"")</f>
        <v>15</v>
      </c>
    </row>
    <row r="19" spans="1:18" ht="19.5" customHeight="1" x14ac:dyDescent="0.3">
      <c r="A19" s="24">
        <v>16</v>
      </c>
      <c r="B19" s="24" t="s">
        <v>126</v>
      </c>
      <c r="C19" s="25" t="str">
        <f>IFERROR(INDEX('Universities &amp; Supervisors'!$B$4:$B$23,MATCH(B19,'Universities &amp; Supervisors'!$A$4:$A$23,0)),"")</f>
        <v>Switzerland</v>
      </c>
      <c r="D19" s="26" t="s">
        <v>127</v>
      </c>
      <c r="E19" s="24" t="s">
        <v>76</v>
      </c>
      <c r="F19" s="24" t="s">
        <v>99</v>
      </c>
      <c r="G19" s="27" t="str">
        <f>IFERROR(HYPERLINK("#'Universities &amp; Supervisors'!A"&amp;(MATCH(B19,'Universities &amp; Supervisors'!$A$4:$A$23,0)+3),INDEX('Universities &amp; Supervisors'!$E$4:$E$23,MATCH(B19,'Universities &amp; Supervisors'!$A$4:$A$23,0))),"")</f>
        <v>Dr. Claire Dubois</v>
      </c>
      <c r="H19" s="28">
        <v>46407</v>
      </c>
      <c r="I19" s="29">
        <f t="shared" ca="1" si="0"/>
        <v>120</v>
      </c>
      <c r="J19" s="24" t="s">
        <v>12</v>
      </c>
      <c r="K19" s="24" t="s">
        <v>77</v>
      </c>
      <c r="L19" s="24">
        <v>8</v>
      </c>
      <c r="M19" s="25" t="str">
        <f>IFERROR(INDEX('Universities &amp; Supervisors'!$H$4:$H$23,MATCH(B19,'Universities &amp; Supervisors'!$A$4:$A$23,0)),"")</f>
        <v>Fully funded (SNSF)</v>
      </c>
      <c r="N19" s="30">
        <v>0.45</v>
      </c>
      <c r="O19" s="28">
        <v>46274</v>
      </c>
      <c r="P19" s="26" t="s">
        <v>128</v>
      </c>
      <c r="Q19" s="24" t="str">
        <f t="shared" ca="1" si="1"/>
        <v/>
      </c>
      <c r="R19" s="24">
        <f>IF(AND(OR(Explorer!$C$4="All",C19=Explorer!$C$4),OR(Explorer!$C$5="All",J19=Explorer!$C$5),OR(Explorer!$C$6="All",K19=Explorer!$C$6)),MAX($R$3:R18)+1,"")</f>
        <v>16</v>
      </c>
    </row>
    <row r="20" spans="1:18" ht="19.5" customHeight="1" x14ac:dyDescent="0.3">
      <c r="A20" s="24">
        <v>17</v>
      </c>
      <c r="B20" s="24" t="s">
        <v>129</v>
      </c>
      <c r="C20" s="25" t="str">
        <f>IFERROR(INDEX('Universities &amp; Supervisors'!$B$4:$B$23,MATCH(B20,'Universities &amp; Supervisors'!$A$4:$A$23,0)),"")</f>
        <v>Norway</v>
      </c>
      <c r="D20" s="26" t="s">
        <v>130</v>
      </c>
      <c r="E20" s="24" t="s">
        <v>81</v>
      </c>
      <c r="F20" s="24" t="s">
        <v>67</v>
      </c>
      <c r="G20" s="27" t="str">
        <f>IFERROR(HYPERLINK("#'Universities &amp; Supervisors'!A"&amp;(MATCH(B20,'Universities &amp; Supervisors'!$A$4:$A$23,0)+3),INDEX('Universities &amp; Supervisors'!$E$4:$E$23,MATCH(B20,'Universities &amp; Supervisors'!$A$4:$A$23,0))),"")</f>
        <v>Prof. Ola Nilsen</v>
      </c>
      <c r="H20" s="28">
        <v>46351</v>
      </c>
      <c r="I20" s="29">
        <f t="shared" ca="1" si="0"/>
        <v>64</v>
      </c>
      <c r="J20" s="24" t="s">
        <v>17</v>
      </c>
      <c r="K20" s="24" t="s">
        <v>68</v>
      </c>
      <c r="L20" s="24">
        <v>8</v>
      </c>
      <c r="M20" s="25" t="str">
        <f>IFERROR(INDEX('Universities &amp; Supervisors'!$H$4:$H$23,MATCH(B20,'Universities &amp; Supervisors'!$A$4:$A$23,0)),"")</f>
        <v>Fully funded (University)</v>
      </c>
      <c r="N20" s="30">
        <v>1</v>
      </c>
      <c r="O20" s="28">
        <v>46282</v>
      </c>
      <c r="P20" s="26" t="s">
        <v>131</v>
      </c>
      <c r="Q20" s="24" t="str">
        <f t="shared" ca="1" si="1"/>
        <v/>
      </c>
      <c r="R20" s="24">
        <f>IF(AND(OR(Explorer!$C$4="All",C20=Explorer!$C$4),OR(Explorer!$C$5="All",J20=Explorer!$C$5),OR(Explorer!$C$6="All",K20=Explorer!$C$6)),MAX($R$3:R19)+1,"")</f>
        <v>17</v>
      </c>
    </row>
    <row r="21" spans="1:18" ht="19.5" customHeight="1" x14ac:dyDescent="0.3">
      <c r="A21" s="24">
        <v>18</v>
      </c>
      <c r="B21" s="24" t="s">
        <v>132</v>
      </c>
      <c r="C21" s="25" t="str">
        <f>IFERROR(INDEX('Universities &amp; Supervisors'!$B$4:$B$23,MATCH(B21,'Universities &amp; Supervisors'!$A$4:$A$23,0)),"")</f>
        <v>Norway</v>
      </c>
      <c r="D21" s="26" t="s">
        <v>133</v>
      </c>
      <c r="E21" s="24" t="s">
        <v>85</v>
      </c>
      <c r="F21" s="24" t="s">
        <v>67</v>
      </c>
      <c r="G21" s="27" t="str">
        <f>IFERROR(HYPERLINK("#'Universities &amp; Supervisors'!A"&amp;(MATCH(B21,'Universities &amp; Supervisors'!$A$4:$A$23,0)+3),INDEX('Universities &amp; Supervisors'!$E$4:$E$23,MATCH(B21,'Universities &amp; Supervisors'!$A$4:$A$23,0))),"")</f>
        <v>Dr. Ingrid Haugen</v>
      </c>
      <c r="H21" s="28">
        <v>46428</v>
      </c>
      <c r="I21" s="29">
        <f t="shared" ca="1" si="0"/>
        <v>141</v>
      </c>
      <c r="J21" s="24" t="s">
        <v>17</v>
      </c>
      <c r="K21" s="24" t="s">
        <v>77</v>
      </c>
      <c r="L21" s="24">
        <v>7</v>
      </c>
      <c r="M21" s="25" t="str">
        <f>IFERROR(INDEX('Universities &amp; Supervisors'!$H$4:$H$23,MATCH(B21,'Universities &amp; Supervisors'!$A$4:$A$23,0)),"")</f>
        <v>Fully funded (University)</v>
      </c>
      <c r="N21" s="30">
        <v>1</v>
      </c>
      <c r="O21" s="28">
        <v>46281</v>
      </c>
      <c r="P21" s="26" t="s">
        <v>134</v>
      </c>
      <c r="Q21" s="24" t="str">
        <f t="shared" ca="1" si="1"/>
        <v/>
      </c>
      <c r="R21" s="24">
        <f>IF(AND(OR(Explorer!$C$4="All",C21=Explorer!$C$4),OR(Explorer!$C$5="All",J21=Explorer!$C$5),OR(Explorer!$C$6="All",K21=Explorer!$C$6)),MAX($R$3:R20)+1,"")</f>
        <v>18</v>
      </c>
    </row>
    <row r="22" spans="1:18" ht="19.5" customHeight="1" x14ac:dyDescent="0.3">
      <c r="A22" s="24">
        <v>19</v>
      </c>
      <c r="B22" s="24" t="s">
        <v>135</v>
      </c>
      <c r="C22" s="25" t="str">
        <f>IFERROR(INDEX('Universities &amp; Supervisors'!$B$4:$B$23,MATCH(B22,'Universities &amp; Supervisors'!$A$4:$A$23,0)),"")</f>
        <v>Canada</v>
      </c>
      <c r="D22" s="26" t="s">
        <v>136</v>
      </c>
      <c r="E22" s="24" t="s">
        <v>137</v>
      </c>
      <c r="F22" s="24" t="s">
        <v>67</v>
      </c>
      <c r="G22" s="27" t="str">
        <f>IFERROR(HYPERLINK("#'Universities &amp; Supervisors'!A"&amp;(MATCH(B22,'Universities &amp; Supervisors'!$A$4:$A$23,0)+3),INDEX('Universities &amp; Supervisors'!$E$4:$E$23,MATCH(B22,'Universities &amp; Supervisors'!$A$4:$A$23,0))),"")</f>
        <v>Prof. Sarah Mitchell</v>
      </c>
      <c r="H22" s="28">
        <v>46447</v>
      </c>
      <c r="I22" s="29">
        <f t="shared" ca="1" si="0"/>
        <v>160</v>
      </c>
      <c r="J22" s="24" t="s">
        <v>19</v>
      </c>
      <c r="K22" s="24" t="s">
        <v>94</v>
      </c>
      <c r="L22" s="24">
        <v>6</v>
      </c>
      <c r="M22" s="25" t="str">
        <f>IFERROR(INDEX('Universities &amp; Supervisors'!$H$4:$H$23,MATCH(B22,'Universities &amp; Supervisors'!$A$4:$A$23,0)),"")</f>
        <v>Partially funded</v>
      </c>
      <c r="N22" s="30">
        <v>1</v>
      </c>
      <c r="O22" s="28">
        <v>46254</v>
      </c>
      <c r="P22" s="26" t="s">
        <v>138</v>
      </c>
      <c r="Q22" s="24" t="str">
        <f t="shared" ca="1" si="1"/>
        <v/>
      </c>
      <c r="R22" s="24">
        <f>IF(AND(OR(Explorer!$C$4="All",C22=Explorer!$C$4),OR(Explorer!$C$5="All",J22=Explorer!$C$5),OR(Explorer!$C$6="All",K22=Explorer!$C$6)),MAX($R$3:R21)+1,"")</f>
        <v>19</v>
      </c>
    </row>
    <row r="23" spans="1:18" ht="19.5" customHeight="1" x14ac:dyDescent="0.3">
      <c r="A23" s="24">
        <v>20</v>
      </c>
      <c r="B23" s="24" t="s">
        <v>139</v>
      </c>
      <c r="C23" s="25" t="str">
        <f>IFERROR(INDEX('Universities &amp; Supervisors'!$B$4:$B$23,MATCH(B23,'Universities &amp; Supervisors'!$A$4:$A$23,0)),"")</f>
        <v>Canada</v>
      </c>
      <c r="D23" s="26" t="s">
        <v>97</v>
      </c>
      <c r="E23" s="24" t="s">
        <v>98</v>
      </c>
      <c r="F23" s="24" t="s">
        <v>99</v>
      </c>
      <c r="G23" s="27" t="str">
        <f>IFERROR(HYPERLINK("#'Universities &amp; Supervisors'!A"&amp;(MATCH(B23,'Universities &amp; Supervisors'!$A$4:$A$23,0)+3),INDEX('Universities &amp; Supervisors'!$E$4:$E$23,MATCH(B23,'Universities &amp; Supervisors'!$A$4:$A$23,0))),"")</f>
        <v>Dr. Olivier Tremblay</v>
      </c>
      <c r="H23" s="28">
        <v>46361</v>
      </c>
      <c r="I23" s="29">
        <f t="shared" ca="1" si="0"/>
        <v>74</v>
      </c>
      <c r="J23" s="24" t="s">
        <v>18</v>
      </c>
      <c r="K23" s="24" t="s">
        <v>94</v>
      </c>
      <c r="L23" s="24">
        <v>9</v>
      </c>
      <c r="M23" s="25" t="str">
        <f>IFERROR(INDEX('Universities &amp; Supervisors'!$H$4:$H$23,MATCH(B23,'Universities &amp; Supervisors'!$A$4:$A$23,0)),"")</f>
        <v>Fully funded (CIHR)</v>
      </c>
      <c r="N23" s="30">
        <v>1</v>
      </c>
      <c r="O23" s="28">
        <v>46284</v>
      </c>
      <c r="P23" s="26" t="s">
        <v>140</v>
      </c>
      <c r="Q23" s="24" t="str">
        <f t="shared" ca="1" si="1"/>
        <v/>
      </c>
      <c r="R23" s="24">
        <f>IF(AND(OR(Explorer!$C$4="All",C23=Explorer!$C$4),OR(Explorer!$C$5="All",J23=Explorer!$C$5),OR(Explorer!$C$6="All",K23=Explorer!$C$6)),MAX($R$3:R22)+1,"")</f>
        <v>20</v>
      </c>
    </row>
  </sheetData>
  <autoFilter ref="A3:P23" xr:uid="{00000000-0009-0000-0000-000001000000}"/>
  <mergeCells count="3">
    <mergeCell ref="A1:P1"/>
    <mergeCell ref="A2:N2"/>
    <mergeCell ref="O2:P2"/>
  </mergeCells>
  <conditionalFormatting sqref="I4:I53">
    <cfRule type="cellIs" dxfId="13" priority="2" operator="lessThan">
      <formula>0</formula>
    </cfRule>
    <cfRule type="cellIs" dxfId="12" priority="3" operator="between">
      <formula>0</formula>
      <formula>30</formula>
    </cfRule>
    <cfRule type="cellIs" dxfId="11" priority="4" operator="between">
      <formula>31</formula>
      <formula>60</formula>
    </cfRule>
    <cfRule type="cellIs" dxfId="10" priority="5" operator="greaterThan">
      <formula>60</formula>
    </cfRule>
  </conditionalFormatting>
  <conditionalFormatting sqref="J4:J53">
    <cfRule type="expression" dxfId="9" priority="6">
      <formula>$J4="Accepted"</formula>
    </cfRule>
    <cfRule type="expression" dxfId="8" priority="7">
      <formula>$J4="Rejected"</formula>
    </cfRule>
    <cfRule type="expression" dxfId="7" priority="8">
      <formula>$J4="Interview"</formula>
    </cfRule>
    <cfRule type="expression" dxfId="6" priority="9">
      <formula>$J4="Submitted"</formula>
    </cfRule>
    <cfRule type="expression" dxfId="5" priority="10">
      <formula>$J4="Not Started"</formula>
    </cfRule>
  </conditionalFormatting>
  <conditionalFormatting sqref="K4:K53">
    <cfRule type="expression" dxfId="4" priority="11">
      <formula>$K4="High"</formula>
    </cfRule>
  </conditionalFormatting>
  <conditionalFormatting sqref="N4:N53">
    <cfRule type="cellIs" dxfId="3" priority="12" operator="equal">
      <formula>1</formula>
    </cfRule>
  </conditionalFormatting>
  <dataValidations count="1">
    <dataValidation type="whole" sqref="L4:L53" xr:uid="{00000000-0002-0000-0100-000005000000}">
      <formula1>1</formula1>
      <formula2>10</formula2>
    </dataValidation>
  </dataValidations>
  <hyperlinks>
    <hyperlink ref="A1" r:id="rId1" xr:uid="{00000000-0004-0000-0100-000000000000}"/>
    <hyperlink ref="O2" location="'Dashboard'!A1" display="◀ Back to Dashboard" xr:uid="{00000000-0004-0000-0100-000001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'Universities &amp; Supervisors'!$A$4:$A$23</xm:f>
          </x14:formula1>
          <x14:formula2>
            <xm:f>0</xm:f>
          </x14:formula2>
          <xm:sqref>B4:B53</xm:sqref>
        </x14:dataValidation>
        <x14:dataValidation type="list" allowBlank="1" xr:uid="{00000000-0002-0000-0100-000001000000}">
          <x14:formula1>
            <xm:f>Lists!$D$2:$D$14</xm:f>
          </x14:formula1>
          <x14:formula2>
            <xm:f>0</xm:f>
          </x14:formula2>
          <xm:sqref>E4:E53</xm:sqref>
        </x14:dataValidation>
        <x14:dataValidation type="list" allowBlank="1" xr:uid="{00000000-0002-0000-0100-000002000000}">
          <x14:formula1>
            <xm:f>Lists!$C$2:$C$4</xm:f>
          </x14:formula1>
          <x14:formula2>
            <xm:f>0</xm:f>
          </x14:formula2>
          <xm:sqref>F4:F53</xm:sqref>
        </x14:dataValidation>
        <x14:dataValidation type="list" allowBlank="1" xr:uid="{00000000-0002-0000-0100-000003000000}">
          <x14:formula1>
            <xm:f>Lists!$A$2:$A$7</xm:f>
          </x14:formula1>
          <x14:formula2>
            <xm:f>0</xm:f>
          </x14:formula2>
          <xm:sqref>J4:J53</xm:sqref>
        </x14:dataValidation>
        <x14:dataValidation type="list" allowBlank="1" xr:uid="{00000000-0002-0000-0100-000004000000}">
          <x14:formula1>
            <xm:f>Lists!$B$2:$B$4</xm:f>
          </x14:formula1>
          <x14:formula2>
            <xm:f>0</xm:f>
          </x14:formula2>
          <xm:sqref>K4:K53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6640625" defaultRowHeight="14.4" x14ac:dyDescent="0.3"/>
  <cols>
    <col min="1" max="1" width="30" customWidth="1"/>
    <col min="2" max="2" width="13" customWidth="1"/>
    <col min="3" max="3" width="12" customWidth="1"/>
    <col min="4" max="4" width="24" customWidth="1"/>
    <col min="5" max="5" width="22" customWidth="1"/>
    <col min="6" max="6" width="13" customWidth="1"/>
    <col min="7" max="7" width="15" customWidth="1"/>
    <col min="8" max="8" width="24" customWidth="1"/>
    <col min="9" max="9" width="18" customWidth="1"/>
    <col min="10" max="10" width="28" customWidth="1"/>
  </cols>
  <sheetData>
    <row r="1" spans="1:10" ht="24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x14ac:dyDescent="0.3">
      <c r="A2" s="1" t="s">
        <v>141</v>
      </c>
      <c r="B2" s="1"/>
      <c r="C2" s="1"/>
      <c r="D2" s="1"/>
      <c r="E2" s="1"/>
      <c r="F2" s="1"/>
      <c r="G2" s="1"/>
      <c r="H2" s="1"/>
      <c r="I2" s="48" t="s">
        <v>50</v>
      </c>
      <c r="J2" s="48"/>
    </row>
    <row r="3" spans="1:10" ht="30" customHeight="1" x14ac:dyDescent="0.3">
      <c r="A3" s="23" t="s">
        <v>32</v>
      </c>
      <c r="B3" s="23" t="s">
        <v>20</v>
      </c>
      <c r="C3" s="23" t="s">
        <v>142</v>
      </c>
      <c r="D3" s="23" t="s">
        <v>143</v>
      </c>
      <c r="E3" s="23" t="s">
        <v>54</v>
      </c>
      <c r="F3" s="23" t="s">
        <v>144</v>
      </c>
      <c r="G3" s="23" t="s">
        <v>145</v>
      </c>
      <c r="H3" s="23" t="s">
        <v>58</v>
      </c>
      <c r="I3" s="23" t="s">
        <v>146</v>
      </c>
      <c r="J3" s="23" t="s">
        <v>147</v>
      </c>
    </row>
    <row r="4" spans="1:10" ht="19.5" customHeight="1" x14ac:dyDescent="0.3">
      <c r="A4" s="24" t="s">
        <v>64</v>
      </c>
      <c r="B4" s="24" t="s">
        <v>23</v>
      </c>
      <c r="C4" s="24" t="s">
        <v>148</v>
      </c>
      <c r="D4" s="26" t="s">
        <v>66</v>
      </c>
      <c r="E4" s="24" t="s">
        <v>149</v>
      </c>
      <c r="F4" s="24">
        <v>9</v>
      </c>
      <c r="G4" s="24">
        <v>7</v>
      </c>
      <c r="H4" s="24" t="s">
        <v>150</v>
      </c>
      <c r="I4" s="24" t="s">
        <v>151</v>
      </c>
      <c r="J4" s="31" t="s">
        <v>152</v>
      </c>
    </row>
    <row r="5" spans="1:10" ht="19.5" customHeight="1" x14ac:dyDescent="0.3">
      <c r="A5" s="24" t="s">
        <v>70</v>
      </c>
      <c r="B5" s="24" t="s">
        <v>23</v>
      </c>
      <c r="C5" s="24" t="s">
        <v>153</v>
      </c>
      <c r="D5" s="26" t="s">
        <v>72</v>
      </c>
      <c r="E5" s="24" t="s">
        <v>154</v>
      </c>
      <c r="F5" s="24">
        <v>9</v>
      </c>
      <c r="G5" s="24">
        <v>5</v>
      </c>
      <c r="H5" s="24" t="s">
        <v>155</v>
      </c>
      <c r="I5" s="24" t="s">
        <v>156</v>
      </c>
      <c r="J5" s="31" t="s">
        <v>157</v>
      </c>
    </row>
    <row r="6" spans="1:10" ht="19.5" customHeight="1" x14ac:dyDescent="0.3">
      <c r="A6" s="24" t="s">
        <v>74</v>
      </c>
      <c r="B6" s="24" t="s">
        <v>23</v>
      </c>
      <c r="C6" s="24" t="s">
        <v>158</v>
      </c>
      <c r="D6" s="26" t="s">
        <v>76</v>
      </c>
      <c r="E6" s="24" t="s">
        <v>159</v>
      </c>
      <c r="F6" s="24">
        <v>8</v>
      </c>
      <c r="G6" s="24">
        <v>6</v>
      </c>
      <c r="H6" s="24" t="s">
        <v>160</v>
      </c>
      <c r="I6" s="24" t="s">
        <v>161</v>
      </c>
      <c r="J6" s="31" t="s">
        <v>162</v>
      </c>
    </row>
    <row r="7" spans="1:10" ht="19.5" customHeight="1" x14ac:dyDescent="0.3">
      <c r="A7" s="24" t="s">
        <v>79</v>
      </c>
      <c r="B7" s="24" t="s">
        <v>25</v>
      </c>
      <c r="C7" s="24" t="s">
        <v>163</v>
      </c>
      <c r="D7" s="26" t="s">
        <v>81</v>
      </c>
      <c r="E7" s="24" t="s">
        <v>164</v>
      </c>
      <c r="F7" s="24">
        <v>9</v>
      </c>
      <c r="G7" s="24">
        <v>8</v>
      </c>
      <c r="H7" s="24" t="s">
        <v>165</v>
      </c>
      <c r="I7" s="24" t="s">
        <v>151</v>
      </c>
      <c r="J7" s="31" t="s">
        <v>166</v>
      </c>
    </row>
    <row r="8" spans="1:10" ht="19.5" customHeight="1" x14ac:dyDescent="0.3">
      <c r="A8" s="24" t="s">
        <v>83</v>
      </c>
      <c r="B8" s="24" t="s">
        <v>25</v>
      </c>
      <c r="C8" s="24" t="s">
        <v>167</v>
      </c>
      <c r="D8" s="26" t="s">
        <v>85</v>
      </c>
      <c r="E8" s="24" t="s">
        <v>168</v>
      </c>
      <c r="F8" s="24">
        <v>8</v>
      </c>
      <c r="G8" s="24">
        <v>7</v>
      </c>
      <c r="H8" s="24" t="s">
        <v>169</v>
      </c>
      <c r="I8" s="24" t="s">
        <v>170</v>
      </c>
      <c r="J8" s="31" t="s">
        <v>171</v>
      </c>
    </row>
    <row r="9" spans="1:10" ht="19.5" customHeight="1" x14ac:dyDescent="0.3">
      <c r="A9" s="24" t="s">
        <v>87</v>
      </c>
      <c r="B9" s="24" t="s">
        <v>25</v>
      </c>
      <c r="C9" s="24" t="s">
        <v>172</v>
      </c>
      <c r="D9" s="26" t="s">
        <v>89</v>
      </c>
      <c r="E9" s="24" t="s">
        <v>173</v>
      </c>
      <c r="F9" s="24">
        <v>8</v>
      </c>
      <c r="G9" s="24">
        <v>9</v>
      </c>
      <c r="H9" s="24" t="s">
        <v>165</v>
      </c>
      <c r="I9" s="24" t="s">
        <v>151</v>
      </c>
      <c r="J9" s="31" t="s">
        <v>174</v>
      </c>
    </row>
    <row r="10" spans="1:10" ht="19.5" customHeight="1" x14ac:dyDescent="0.3">
      <c r="A10" s="24" t="s">
        <v>91</v>
      </c>
      <c r="B10" s="24" t="s">
        <v>25</v>
      </c>
      <c r="C10" s="24" t="s">
        <v>175</v>
      </c>
      <c r="D10" s="26" t="s">
        <v>93</v>
      </c>
      <c r="E10" s="24" t="s">
        <v>176</v>
      </c>
      <c r="F10" s="24">
        <v>8</v>
      </c>
      <c r="G10" s="24">
        <v>6</v>
      </c>
      <c r="H10" s="24" t="s">
        <v>165</v>
      </c>
      <c r="I10" s="24" t="s">
        <v>156</v>
      </c>
      <c r="J10" s="31" t="s">
        <v>177</v>
      </c>
    </row>
    <row r="11" spans="1:10" ht="19.5" customHeight="1" x14ac:dyDescent="0.3">
      <c r="A11" s="24" t="s">
        <v>96</v>
      </c>
      <c r="B11" s="24" t="s">
        <v>27</v>
      </c>
      <c r="C11" s="24" t="s">
        <v>178</v>
      </c>
      <c r="D11" s="26" t="s">
        <v>98</v>
      </c>
      <c r="E11" s="24" t="s">
        <v>179</v>
      </c>
      <c r="F11" s="24">
        <v>10</v>
      </c>
      <c r="G11" s="24">
        <v>6</v>
      </c>
      <c r="H11" s="24" t="s">
        <v>180</v>
      </c>
      <c r="I11" s="24" t="s">
        <v>151</v>
      </c>
      <c r="J11" s="31" t="s">
        <v>181</v>
      </c>
    </row>
    <row r="12" spans="1:10" ht="19.5" customHeight="1" x14ac:dyDescent="0.3">
      <c r="A12" s="24" t="s">
        <v>101</v>
      </c>
      <c r="B12" s="24" t="s">
        <v>27</v>
      </c>
      <c r="C12" s="24" t="s">
        <v>178</v>
      </c>
      <c r="D12" s="26" t="s">
        <v>103</v>
      </c>
      <c r="E12" s="24" t="s">
        <v>182</v>
      </c>
      <c r="F12" s="24">
        <v>8</v>
      </c>
      <c r="G12" s="24">
        <v>8</v>
      </c>
      <c r="H12" s="24" t="s">
        <v>183</v>
      </c>
      <c r="I12" s="24" t="s">
        <v>156</v>
      </c>
      <c r="J12" s="31" t="s">
        <v>184</v>
      </c>
    </row>
    <row r="13" spans="1:10" ht="19.5" customHeight="1" x14ac:dyDescent="0.3">
      <c r="A13" s="24" t="s">
        <v>105</v>
      </c>
      <c r="B13" s="24" t="s">
        <v>27</v>
      </c>
      <c r="C13" s="24" t="s">
        <v>185</v>
      </c>
      <c r="D13" s="26" t="s">
        <v>107</v>
      </c>
      <c r="E13" s="24" t="s">
        <v>186</v>
      </c>
      <c r="F13" s="24">
        <v>8</v>
      </c>
      <c r="G13" s="24">
        <v>7</v>
      </c>
      <c r="H13" s="24" t="s">
        <v>165</v>
      </c>
      <c r="I13" s="24" t="s">
        <v>151</v>
      </c>
      <c r="J13" s="31" t="s">
        <v>187</v>
      </c>
    </row>
    <row r="14" spans="1:10" ht="19.5" customHeight="1" x14ac:dyDescent="0.3">
      <c r="A14" s="24" t="s">
        <v>109</v>
      </c>
      <c r="B14" s="24" t="s">
        <v>24</v>
      </c>
      <c r="C14" s="24" t="s">
        <v>188</v>
      </c>
      <c r="D14" s="26" t="s">
        <v>111</v>
      </c>
      <c r="E14" s="24" t="s">
        <v>189</v>
      </c>
      <c r="F14" s="24">
        <v>8</v>
      </c>
      <c r="G14" s="24">
        <v>5</v>
      </c>
      <c r="H14" s="24" t="s">
        <v>190</v>
      </c>
      <c r="I14" s="24" t="s">
        <v>161</v>
      </c>
      <c r="J14" s="31" t="s">
        <v>191</v>
      </c>
    </row>
    <row r="15" spans="1:10" ht="19.5" customHeight="1" x14ac:dyDescent="0.3">
      <c r="A15" s="24" t="s">
        <v>113</v>
      </c>
      <c r="B15" s="24" t="s">
        <v>24</v>
      </c>
      <c r="C15" s="24" t="s">
        <v>192</v>
      </c>
      <c r="D15" s="26" t="s">
        <v>115</v>
      </c>
      <c r="E15" s="24" t="s">
        <v>193</v>
      </c>
      <c r="F15" s="24">
        <v>7</v>
      </c>
      <c r="G15" s="24">
        <v>6</v>
      </c>
      <c r="H15" s="24" t="s">
        <v>194</v>
      </c>
      <c r="I15" s="24" t="s">
        <v>151</v>
      </c>
      <c r="J15" s="31" t="s">
        <v>195</v>
      </c>
    </row>
    <row r="16" spans="1:10" ht="19.5" customHeight="1" x14ac:dyDescent="0.3">
      <c r="A16" s="24" t="s">
        <v>117</v>
      </c>
      <c r="B16" s="24" t="s">
        <v>21</v>
      </c>
      <c r="C16" s="24" t="s">
        <v>196</v>
      </c>
      <c r="D16" s="26" t="s">
        <v>107</v>
      </c>
      <c r="E16" s="24" t="s">
        <v>197</v>
      </c>
      <c r="F16" s="24">
        <v>9</v>
      </c>
      <c r="G16" s="24">
        <v>7</v>
      </c>
      <c r="H16" s="24" t="s">
        <v>198</v>
      </c>
      <c r="I16" s="24" t="s">
        <v>156</v>
      </c>
      <c r="J16" s="31" t="s">
        <v>199</v>
      </c>
    </row>
    <row r="17" spans="1:10" ht="19.5" customHeight="1" x14ac:dyDescent="0.3">
      <c r="A17" s="24" t="s">
        <v>120</v>
      </c>
      <c r="B17" s="24" t="s">
        <v>21</v>
      </c>
      <c r="C17" s="24" t="s">
        <v>200</v>
      </c>
      <c r="D17" s="26" t="s">
        <v>93</v>
      </c>
      <c r="E17" s="24" t="s">
        <v>201</v>
      </c>
      <c r="F17" s="24">
        <v>8</v>
      </c>
      <c r="G17" s="24">
        <v>8</v>
      </c>
      <c r="H17" s="24" t="s">
        <v>202</v>
      </c>
      <c r="I17" s="24" t="s">
        <v>151</v>
      </c>
      <c r="J17" s="31" t="s">
        <v>203</v>
      </c>
    </row>
    <row r="18" spans="1:10" ht="19.5" customHeight="1" x14ac:dyDescent="0.3">
      <c r="A18" s="24" t="s">
        <v>123</v>
      </c>
      <c r="B18" s="24" t="s">
        <v>28</v>
      </c>
      <c r="C18" s="24" t="s">
        <v>204</v>
      </c>
      <c r="D18" s="26" t="s">
        <v>103</v>
      </c>
      <c r="E18" s="24" t="s">
        <v>205</v>
      </c>
      <c r="F18" s="24">
        <v>10</v>
      </c>
      <c r="G18" s="24">
        <v>4</v>
      </c>
      <c r="H18" s="24" t="s">
        <v>206</v>
      </c>
      <c r="I18" s="24" t="s">
        <v>161</v>
      </c>
      <c r="J18" s="31" t="s">
        <v>207</v>
      </c>
    </row>
    <row r="19" spans="1:10" ht="19.5" customHeight="1" x14ac:dyDescent="0.3">
      <c r="A19" s="24" t="s">
        <v>126</v>
      </c>
      <c r="B19" s="24" t="s">
        <v>28</v>
      </c>
      <c r="C19" s="24" t="s">
        <v>208</v>
      </c>
      <c r="D19" s="26" t="s">
        <v>76</v>
      </c>
      <c r="E19" s="24" t="s">
        <v>209</v>
      </c>
      <c r="F19" s="24">
        <v>10</v>
      </c>
      <c r="G19" s="24">
        <v>6</v>
      </c>
      <c r="H19" s="24" t="s">
        <v>210</v>
      </c>
      <c r="I19" s="24" t="s">
        <v>156</v>
      </c>
      <c r="J19" s="31" t="s">
        <v>211</v>
      </c>
    </row>
    <row r="20" spans="1:10" ht="19.5" customHeight="1" x14ac:dyDescent="0.3">
      <c r="A20" s="24" t="s">
        <v>129</v>
      </c>
      <c r="B20" s="24" t="s">
        <v>26</v>
      </c>
      <c r="C20" s="24" t="s">
        <v>212</v>
      </c>
      <c r="D20" s="26" t="s">
        <v>81</v>
      </c>
      <c r="E20" s="24" t="s">
        <v>213</v>
      </c>
      <c r="F20" s="24">
        <v>8</v>
      </c>
      <c r="G20" s="24">
        <v>9</v>
      </c>
      <c r="H20" s="24" t="s">
        <v>165</v>
      </c>
      <c r="I20" s="24" t="s">
        <v>151</v>
      </c>
      <c r="J20" s="31" t="s">
        <v>214</v>
      </c>
    </row>
    <row r="21" spans="1:10" ht="19.5" customHeight="1" x14ac:dyDescent="0.3">
      <c r="A21" s="24" t="s">
        <v>132</v>
      </c>
      <c r="B21" s="24" t="s">
        <v>26</v>
      </c>
      <c r="C21" s="24" t="s">
        <v>215</v>
      </c>
      <c r="D21" s="26" t="s">
        <v>85</v>
      </c>
      <c r="E21" s="24" t="s">
        <v>216</v>
      </c>
      <c r="F21" s="24">
        <v>8</v>
      </c>
      <c r="G21" s="24">
        <v>7</v>
      </c>
      <c r="H21" s="24" t="s">
        <v>165</v>
      </c>
      <c r="I21" s="24" t="s">
        <v>170</v>
      </c>
      <c r="J21" s="31" t="s">
        <v>217</v>
      </c>
    </row>
    <row r="22" spans="1:10" ht="19.5" customHeight="1" x14ac:dyDescent="0.3">
      <c r="A22" s="24" t="s">
        <v>135</v>
      </c>
      <c r="B22" s="24" t="s">
        <v>22</v>
      </c>
      <c r="C22" s="24" t="s">
        <v>218</v>
      </c>
      <c r="D22" s="26" t="s">
        <v>137</v>
      </c>
      <c r="E22" s="24" t="s">
        <v>219</v>
      </c>
      <c r="F22" s="24">
        <v>9</v>
      </c>
      <c r="G22" s="24">
        <v>5</v>
      </c>
      <c r="H22" s="24" t="s">
        <v>220</v>
      </c>
      <c r="I22" s="24" t="s">
        <v>161</v>
      </c>
      <c r="J22" s="31" t="s">
        <v>221</v>
      </c>
    </row>
    <row r="23" spans="1:10" ht="19.5" customHeight="1" x14ac:dyDescent="0.3">
      <c r="A23" s="24" t="s">
        <v>139</v>
      </c>
      <c r="B23" s="24" t="s">
        <v>22</v>
      </c>
      <c r="C23" s="24" t="s">
        <v>222</v>
      </c>
      <c r="D23" s="26" t="s">
        <v>98</v>
      </c>
      <c r="E23" s="24" t="s">
        <v>223</v>
      </c>
      <c r="F23" s="24">
        <v>9</v>
      </c>
      <c r="G23" s="24">
        <v>6</v>
      </c>
      <c r="H23" s="24" t="s">
        <v>224</v>
      </c>
      <c r="I23" s="24" t="s">
        <v>151</v>
      </c>
      <c r="J23" s="31" t="s">
        <v>225</v>
      </c>
    </row>
  </sheetData>
  <mergeCells count="3">
    <mergeCell ref="A1:J1"/>
    <mergeCell ref="A2:H2"/>
    <mergeCell ref="I2:J2"/>
  </mergeCells>
  <hyperlinks>
    <hyperlink ref="A1" r:id="rId1" xr:uid="{00000000-0004-0000-0200-000000000000}"/>
    <hyperlink ref="I2" location="'Dashboard'!A1" display="◀ Back to Dashboard" xr:uid="{00000000-0004-0000-0200-000001000000}"/>
    <hyperlink ref="J4" r:id="rId2" xr:uid="{00000000-0004-0000-0200-000002000000}"/>
    <hyperlink ref="J5" r:id="rId3" xr:uid="{00000000-0004-0000-0200-000003000000}"/>
    <hyperlink ref="J6" r:id="rId4" xr:uid="{00000000-0004-0000-0200-000004000000}"/>
    <hyperlink ref="J7" r:id="rId5" xr:uid="{00000000-0004-0000-0200-000005000000}"/>
    <hyperlink ref="J8" r:id="rId6" xr:uid="{00000000-0004-0000-0200-000006000000}"/>
    <hyperlink ref="J9" r:id="rId7" xr:uid="{00000000-0004-0000-0200-000007000000}"/>
    <hyperlink ref="J10" r:id="rId8" xr:uid="{00000000-0004-0000-0200-000008000000}"/>
    <hyperlink ref="J11" r:id="rId9" xr:uid="{00000000-0004-0000-0200-000009000000}"/>
    <hyperlink ref="J12" r:id="rId10" xr:uid="{00000000-0004-0000-0200-00000A000000}"/>
    <hyperlink ref="J13" r:id="rId11" xr:uid="{00000000-0004-0000-0200-00000B000000}"/>
    <hyperlink ref="J14" r:id="rId12" xr:uid="{00000000-0004-0000-0200-00000C000000}"/>
    <hyperlink ref="J15" r:id="rId13" xr:uid="{00000000-0004-0000-0200-00000D000000}"/>
    <hyperlink ref="J16" r:id="rId14" xr:uid="{00000000-0004-0000-0200-00000E000000}"/>
    <hyperlink ref="J17" r:id="rId15" xr:uid="{00000000-0004-0000-0200-00000F000000}"/>
    <hyperlink ref="J18" r:id="rId16" xr:uid="{00000000-0004-0000-0200-000010000000}"/>
    <hyperlink ref="J19" r:id="rId17" xr:uid="{00000000-0004-0000-0200-000011000000}"/>
    <hyperlink ref="J20" r:id="rId18" xr:uid="{00000000-0004-0000-0200-000012000000}"/>
    <hyperlink ref="J21" r:id="rId19" xr:uid="{00000000-0004-0000-0200-000013000000}"/>
    <hyperlink ref="J22" r:id="rId20" xr:uid="{00000000-0004-0000-0200-000014000000}"/>
    <hyperlink ref="J23" r:id="rId21" xr:uid="{00000000-0004-0000-0200-000015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Lists!$E$2:$E$5</xm:f>
          </x14:formula1>
          <x14:formula2>
            <xm:f>0</xm:f>
          </x14:formula2>
          <xm:sqref>I4:I23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7"/>
  <sheetViews>
    <sheetView zoomScaleNormal="100" workbookViewId="0">
      <pane ySplit="9" topLeftCell="A10" activePane="bottomLeft" state="frozen"/>
      <selection pane="bottomLeft"/>
    </sheetView>
  </sheetViews>
  <sheetFormatPr defaultColWidth="8.6640625" defaultRowHeight="14.4" x14ac:dyDescent="0.3"/>
  <cols>
    <col min="1" max="1" width="5" customWidth="1"/>
    <col min="2" max="2" width="30" customWidth="1"/>
    <col min="3" max="3" width="13" customWidth="1"/>
    <col min="4" max="4" width="32" customWidth="1"/>
    <col min="5" max="5" width="13" customWidth="1"/>
    <col min="6" max="6" width="8" customWidth="1"/>
    <col min="7" max="7" width="13" customWidth="1"/>
    <col min="8" max="8" width="10" customWidth="1"/>
  </cols>
  <sheetData>
    <row r="1" spans="1:8" ht="24" customHeight="1" x14ac:dyDescent="0.3">
      <c r="A1" s="14" t="s">
        <v>0</v>
      </c>
      <c r="B1" s="14"/>
      <c r="C1" s="14"/>
      <c r="D1" s="14"/>
      <c r="E1" s="14"/>
      <c r="F1" s="14"/>
      <c r="G1" s="14"/>
      <c r="H1" s="14"/>
    </row>
    <row r="2" spans="1:8" x14ac:dyDescent="0.3">
      <c r="A2" s="1" t="s">
        <v>226</v>
      </c>
      <c r="B2" s="1"/>
      <c r="C2" s="1"/>
      <c r="D2" s="1"/>
      <c r="E2" s="1"/>
      <c r="F2" s="1"/>
      <c r="G2" s="48" t="s">
        <v>50</v>
      </c>
      <c r="H2" s="48"/>
    </row>
    <row r="4" spans="1:8" ht="21.75" customHeight="1" x14ac:dyDescent="0.3">
      <c r="B4" s="32" t="s">
        <v>20</v>
      </c>
      <c r="C4" s="33" t="s">
        <v>227</v>
      </c>
      <c r="E4" s="32" t="s">
        <v>228</v>
      </c>
      <c r="F4" s="49">
        <f>COUNT(Applications!R4:R23)</f>
        <v>20</v>
      </c>
      <c r="G4" s="49"/>
    </row>
    <row r="5" spans="1:8" ht="21.75" customHeight="1" x14ac:dyDescent="0.3">
      <c r="B5" s="32" t="s">
        <v>9</v>
      </c>
      <c r="C5" s="33" t="s">
        <v>227</v>
      </c>
      <c r="E5" s="32" t="s">
        <v>229</v>
      </c>
      <c r="F5" s="49">
        <f>IFERROR(ROUND(SUMPRODUCT((Applications!R4:R23&lt;&gt;"")*Applications!L4:L23)/$F$4,1),0)</f>
        <v>7.7</v>
      </c>
      <c r="G5" s="49"/>
    </row>
    <row r="6" spans="1:8" ht="21.75" customHeight="1" x14ac:dyDescent="0.3">
      <c r="B6" s="32" t="s">
        <v>56</v>
      </c>
      <c r="C6" s="33" t="s">
        <v>227</v>
      </c>
      <c r="E6" s="32" t="s">
        <v>230</v>
      </c>
      <c r="F6" s="50">
        <f>IFERROR(SUMPRODUCT((Applications!R4:R23&lt;&gt;"")*Applications!N4:N23)/$F$4,0)</f>
        <v>0.64249999999999996</v>
      </c>
      <c r="G6" s="50"/>
    </row>
    <row r="7" spans="1:8" ht="21.75" customHeight="1" x14ac:dyDescent="0.3">
      <c r="E7" s="32" t="s">
        <v>231</v>
      </c>
      <c r="F7" s="49">
        <f ca="1">IFERROR(SUMPRODUCT(MIN(IF(Applications!R4:R23&lt;&gt;"",IF(Applications!I4:I23&gt;=0,Applications!I4:I23)))),"")</f>
        <v>13</v>
      </c>
      <c r="G7" s="49"/>
    </row>
    <row r="9" spans="1:8" ht="30" customHeight="1" x14ac:dyDescent="0.3">
      <c r="A9" s="23" t="s">
        <v>31</v>
      </c>
      <c r="B9" s="23" t="s">
        <v>32</v>
      </c>
      <c r="C9" s="23" t="s">
        <v>20</v>
      </c>
      <c r="D9" s="23" t="s">
        <v>33</v>
      </c>
      <c r="E9" s="23" t="s">
        <v>34</v>
      </c>
      <c r="F9" s="23" t="s">
        <v>35</v>
      </c>
      <c r="G9" s="23" t="s">
        <v>9</v>
      </c>
      <c r="H9" s="23" t="s">
        <v>56</v>
      </c>
    </row>
    <row r="10" spans="1:8" ht="18" customHeight="1" x14ac:dyDescent="0.3">
      <c r="A10" s="24">
        <v>1</v>
      </c>
      <c r="B10" s="34" t="str">
        <f>IFERROR(HYPERLINK("#'Applications'!A"&amp;(MATCH($A10,Applications!$R$4:$R$23,0)+3),INDEX(Applications!$B$4:$B$23,MATCH($A10,Applications!$R$4:$R$23,0))),"")</f>
        <v>Technical University of Munich</v>
      </c>
      <c r="C10" s="24" t="str">
        <f>IFERROR(INDEX(Applications!$C$4:$C$23,MATCH($A10,Applications!$R$4:$R$23,0)),"")</f>
        <v>Germany</v>
      </c>
      <c r="D10" s="26" t="str">
        <f>IFERROR(INDEX(Applications!$D$4:$D$23,MATCH($A10,Applications!$R$4:$R$23,0)),"")</f>
        <v>PhD in Computational Biology</v>
      </c>
      <c r="E10" s="28">
        <f>IFERROR(INDEX(Applications!$H$4:$H$23,MATCH($A10,Applications!$R$4:$R$23,0)),"")</f>
        <v>46300</v>
      </c>
      <c r="F10" s="35">
        <f ca="1">IFERROR(INDEX(Applications!$I$4:$I$23,MATCH($A10,Applications!$R$4:$R$23,0)),"")</f>
        <v>13</v>
      </c>
      <c r="G10" s="24" t="str">
        <f>IFERROR(INDEX(Applications!$J$4:$J$23,MATCH($A10,Applications!$R$4:$R$23,0)),"")</f>
        <v>In Progress</v>
      </c>
      <c r="H10" s="24" t="str">
        <f>IFERROR(INDEX(Applications!$K$4:$K$23,MATCH($A10,Applications!$R$4:$R$23,0)),"")</f>
        <v>High</v>
      </c>
    </row>
    <row r="11" spans="1:8" ht="18" customHeight="1" x14ac:dyDescent="0.3">
      <c r="A11" s="24">
        <v>2</v>
      </c>
      <c r="B11" s="34" t="str">
        <f>IFERROR(HYPERLINK("#'Applications'!A"&amp;(MATCH($A11,Applications!$R$4:$R$23,0)+3),INDEX(Applications!$B$4:$B$23,MATCH($A11,Applications!$R$4:$R$23,0))),"")</f>
        <v>Heidelberg University</v>
      </c>
      <c r="C11" s="24" t="str">
        <f>IFERROR(INDEX(Applications!$C$4:$C$23,MATCH($A11,Applications!$R$4:$R$23,0)),"")</f>
        <v>Germany</v>
      </c>
      <c r="D11" s="26" t="str">
        <f>IFERROR(INDEX(Applications!$D$4:$D$23,MATCH($A11,Applications!$R$4:$R$23,0)),"")</f>
        <v>PhD in Molecular Oncology (DKFZ)</v>
      </c>
      <c r="E11" s="28">
        <f>IFERROR(INDEX(Applications!$H$4:$H$23,MATCH($A11,Applications!$R$4:$R$23,0)),"")</f>
        <v>46341</v>
      </c>
      <c r="F11" s="35">
        <f ca="1">IFERROR(INDEX(Applications!$I$4:$I$23,MATCH($A11,Applications!$R$4:$R$23,0)),"")</f>
        <v>54</v>
      </c>
      <c r="G11" s="24" t="str">
        <f>IFERROR(INDEX(Applications!$J$4:$J$23,MATCH($A11,Applications!$R$4:$R$23,0)),"")</f>
        <v>In Progress</v>
      </c>
      <c r="H11" s="24" t="str">
        <f>IFERROR(INDEX(Applications!$K$4:$K$23,MATCH($A11,Applications!$R$4:$R$23,0)),"")</f>
        <v>High</v>
      </c>
    </row>
    <row r="12" spans="1:8" ht="18" customHeight="1" x14ac:dyDescent="0.3">
      <c r="A12" s="24">
        <v>3</v>
      </c>
      <c r="B12" s="34" t="str">
        <f>IFERROR(HYPERLINK("#'Applications'!A"&amp;(MATCH($A12,Applications!$R$4:$R$23,0)+3),INDEX(Applications!$B$4:$B$23,MATCH($A12,Applications!$R$4:$R$23,0))),"")</f>
        <v>RWTH Aachen University</v>
      </c>
      <c r="C12" s="24" t="str">
        <f>IFERROR(INDEX(Applications!$C$4:$C$23,MATCH($A12,Applications!$R$4:$R$23,0)),"")</f>
        <v>Germany</v>
      </c>
      <c r="D12" s="26" t="str">
        <f>IFERROR(INDEX(Applications!$D$4:$D$23,MATCH($A12,Applications!$R$4:$R$23,0)),"")</f>
        <v>PhD in Mechanical Engineering</v>
      </c>
      <c r="E12" s="28">
        <f>IFERROR(INDEX(Applications!$H$4:$H$23,MATCH($A12,Applications!$R$4:$R$23,0)),"")</f>
        <v>46418</v>
      </c>
      <c r="F12" s="35">
        <f ca="1">IFERROR(INDEX(Applications!$I$4:$I$23,MATCH($A12,Applications!$R$4:$R$23,0)),"")</f>
        <v>131</v>
      </c>
      <c r="G12" s="24" t="str">
        <f>IFERROR(INDEX(Applications!$J$4:$J$23,MATCH($A12,Applications!$R$4:$R$23,0)),"")</f>
        <v>Not Started</v>
      </c>
      <c r="H12" s="24" t="str">
        <f>IFERROR(INDEX(Applications!$K$4:$K$23,MATCH($A12,Applications!$R$4:$R$23,0)),"")</f>
        <v>Medium</v>
      </c>
    </row>
    <row r="13" spans="1:8" ht="18" customHeight="1" x14ac:dyDescent="0.3">
      <c r="A13" s="24">
        <v>4</v>
      </c>
      <c r="B13" s="34" t="str">
        <f>IFERROR(HYPERLINK("#'Applications'!A"&amp;(MATCH($A13,Applications!$R$4:$R$23,0)+3),INDEX(Applications!$B$4:$B$23,MATCH($A13,Applications!$R$4:$R$23,0))),"")</f>
        <v>Delft University of Technology</v>
      </c>
      <c r="C13" s="24" t="str">
        <f>IFERROR(INDEX(Applications!$C$4:$C$23,MATCH($A13,Applications!$R$4:$R$23,0)),"")</f>
        <v>Netherlands</v>
      </c>
      <c r="D13" s="26" t="str">
        <f>IFERROR(INDEX(Applications!$D$4:$D$23,MATCH($A13,Applications!$R$4:$R$23,0)),"")</f>
        <v>PhD in Structural Engineering</v>
      </c>
      <c r="E13" s="28">
        <f>IFERROR(INDEX(Applications!$H$4:$H$23,MATCH($A13,Applications!$R$4:$R$23,0)),"")</f>
        <v>46307</v>
      </c>
      <c r="F13" s="35">
        <f ca="1">IFERROR(INDEX(Applications!$I$4:$I$23,MATCH($A13,Applications!$R$4:$R$23,0)),"")</f>
        <v>20</v>
      </c>
      <c r="G13" s="24" t="str">
        <f>IFERROR(INDEX(Applications!$J$4:$J$23,MATCH($A13,Applications!$R$4:$R$23,0)),"")</f>
        <v>Submitted</v>
      </c>
      <c r="H13" s="24" t="str">
        <f>IFERROR(INDEX(Applications!$K$4:$K$23,MATCH($A13,Applications!$R$4:$R$23,0)),"")</f>
        <v>High</v>
      </c>
    </row>
    <row r="14" spans="1:8" ht="18" customHeight="1" x14ac:dyDescent="0.3">
      <c r="A14" s="24">
        <v>5</v>
      </c>
      <c r="B14" s="34" t="str">
        <f>IFERROR(HYPERLINK("#'Applications'!A"&amp;(MATCH($A14,Applications!$R$4:$R$23,0)+3),INDEX(Applications!$B$4:$B$23,MATCH($A14,Applications!$R$4:$R$23,0))),"")</f>
        <v>University of Amsterdam</v>
      </c>
      <c r="C14" s="24" t="str">
        <f>IFERROR(INDEX(Applications!$C$4:$C$23,MATCH($A14,Applications!$R$4:$R$23,0)),"")</f>
        <v>Netherlands</v>
      </c>
      <c r="D14" s="26" t="str">
        <f>IFERROR(INDEX(Applications!$D$4:$D$23,MATCH($A14,Applications!$R$4:$R$23,0)),"")</f>
        <v>PhD in Clinical Psychology</v>
      </c>
      <c r="E14" s="28">
        <f>IFERROR(INDEX(Applications!$H$4:$H$23,MATCH($A14,Applications!$R$4:$R$23,0)),"")</f>
        <v>46313</v>
      </c>
      <c r="F14" s="35">
        <f ca="1">IFERROR(INDEX(Applications!$I$4:$I$23,MATCH($A14,Applications!$R$4:$R$23,0)),"")</f>
        <v>26</v>
      </c>
      <c r="G14" s="24" t="str">
        <f>IFERROR(INDEX(Applications!$J$4:$J$23,MATCH($A14,Applications!$R$4:$R$23,0)),"")</f>
        <v>Interview</v>
      </c>
      <c r="H14" s="24" t="str">
        <f>IFERROR(INDEX(Applications!$K$4:$K$23,MATCH($A14,Applications!$R$4:$R$23,0)),"")</f>
        <v>High</v>
      </c>
    </row>
    <row r="15" spans="1:8" ht="18" customHeight="1" x14ac:dyDescent="0.3">
      <c r="A15" s="24">
        <v>6</v>
      </c>
      <c r="B15" s="34" t="str">
        <f>IFERROR(HYPERLINK("#'Applications'!A"&amp;(MATCH($A15,Applications!$R$4:$R$23,0)+3),INDEX(Applications!$B$4:$B$23,MATCH($A15,Applications!$R$4:$R$23,0))),"")</f>
        <v>Wageningen University</v>
      </c>
      <c r="C15" s="24" t="str">
        <f>IFERROR(INDEX(Applications!$C$4:$C$23,MATCH($A15,Applications!$R$4:$R$23,0)),"")</f>
        <v>Netherlands</v>
      </c>
      <c r="D15" s="26" t="str">
        <f>IFERROR(INDEX(Applications!$D$4:$D$23,MATCH($A15,Applications!$R$4:$R$23,0)),"")</f>
        <v>PhD in Food Biotechnology</v>
      </c>
      <c r="E15" s="28">
        <f>IFERROR(INDEX(Applications!$H$4:$H$23,MATCH($A15,Applications!$R$4:$R$23,0)),"")</f>
        <v>46357</v>
      </c>
      <c r="F15" s="35">
        <f ca="1">IFERROR(INDEX(Applications!$I$4:$I$23,MATCH($A15,Applications!$R$4:$R$23,0)),"")</f>
        <v>70</v>
      </c>
      <c r="G15" s="24" t="str">
        <f>IFERROR(INDEX(Applications!$J$4:$J$23,MATCH($A15,Applications!$R$4:$R$23,0)),"")</f>
        <v>In Progress</v>
      </c>
      <c r="H15" s="24" t="str">
        <f>IFERROR(INDEX(Applications!$K$4:$K$23,MATCH($A15,Applications!$R$4:$R$23,0)),"")</f>
        <v>Medium</v>
      </c>
    </row>
    <row r="16" spans="1:8" ht="18" customHeight="1" x14ac:dyDescent="0.3">
      <c r="A16" s="24">
        <v>7</v>
      </c>
      <c r="B16" s="34" t="str">
        <f>IFERROR(HYPERLINK("#'Applications'!A"&amp;(MATCH($A16,Applications!$R$4:$R$23,0)+3),INDEX(Applications!$B$4:$B$23,MATCH($A16,Applications!$R$4:$R$23,0))),"")</f>
        <v>Utrecht University</v>
      </c>
      <c r="C16" s="24" t="str">
        <f>IFERROR(INDEX(Applications!$C$4:$C$23,MATCH($A16,Applications!$R$4:$R$23,0)),"")</f>
        <v>Netherlands</v>
      </c>
      <c r="D16" s="26" t="str">
        <f>IFERROR(INDEX(Applications!$D$4:$D$23,MATCH($A16,Applications!$R$4:$R$23,0)),"")</f>
        <v>PhD in Developmental Biology</v>
      </c>
      <c r="E16" s="28">
        <f>IFERROR(INDEX(Applications!$H$4:$H$23,MATCH($A16,Applications!$R$4:$R$23,0)),"")</f>
        <v>46371</v>
      </c>
      <c r="F16" s="35">
        <f ca="1">IFERROR(INDEX(Applications!$I$4:$I$23,MATCH($A16,Applications!$R$4:$R$23,0)),"")</f>
        <v>84</v>
      </c>
      <c r="G16" s="24" t="str">
        <f>IFERROR(INDEX(Applications!$J$4:$J$23,MATCH($A16,Applications!$R$4:$R$23,0)),"")</f>
        <v>Not Started</v>
      </c>
      <c r="H16" s="24" t="str">
        <f>IFERROR(INDEX(Applications!$K$4:$K$23,MATCH($A16,Applications!$R$4:$R$23,0)),"")</f>
        <v>Low</v>
      </c>
    </row>
    <row r="17" spans="1:8" ht="18" customHeight="1" x14ac:dyDescent="0.3">
      <c r="A17" s="24">
        <v>8</v>
      </c>
      <c r="B17" s="34" t="str">
        <f>IFERROR(HYPERLINK("#'Applications'!A"&amp;(MATCH($A17,Applications!$R$4:$R$23,0)+3),INDEX(Applications!$B$4:$B$23,MATCH($A17,Applications!$R$4:$R$23,0))),"")</f>
        <v>Karolinska Institutet</v>
      </c>
      <c r="C17" s="24" t="str">
        <f>IFERROR(INDEX(Applications!$C$4:$C$23,MATCH($A17,Applications!$R$4:$R$23,0)),"")</f>
        <v>Sweden</v>
      </c>
      <c r="D17" s="26" t="str">
        <f>IFERROR(INDEX(Applications!$D$4:$D$23,MATCH($A17,Applications!$R$4:$R$23,0)),"")</f>
        <v>Postdoc in Cancer Biology</v>
      </c>
      <c r="E17" s="28">
        <f>IFERROR(INDEX(Applications!$H$4:$H$23,MATCH($A17,Applications!$R$4:$R$23,0)),"")</f>
        <v>46315</v>
      </c>
      <c r="F17" s="35">
        <f ca="1">IFERROR(INDEX(Applications!$I$4:$I$23,MATCH($A17,Applications!$R$4:$R$23,0)),"")</f>
        <v>28</v>
      </c>
      <c r="G17" s="24" t="str">
        <f>IFERROR(INDEX(Applications!$J$4:$J$23,MATCH($A17,Applications!$R$4:$R$23,0)),"")</f>
        <v>Submitted</v>
      </c>
      <c r="H17" s="24" t="str">
        <f>IFERROR(INDEX(Applications!$K$4:$K$23,MATCH($A17,Applications!$R$4:$R$23,0)),"")</f>
        <v>High</v>
      </c>
    </row>
    <row r="18" spans="1:8" ht="18" customHeight="1" x14ac:dyDescent="0.3">
      <c r="A18" s="24">
        <v>9</v>
      </c>
      <c r="B18" s="34" t="str">
        <f>IFERROR(HYPERLINK("#'Applications'!A"&amp;(MATCH($A18,Applications!$R$4:$R$23,0)+3),INDEX(Applications!$B$4:$B$23,MATCH($A18,Applications!$R$4:$R$23,0))),"")</f>
        <v>KTH Royal Institute of Technology</v>
      </c>
      <c r="C18" s="24" t="str">
        <f>IFERROR(INDEX(Applications!$C$4:$C$23,MATCH($A18,Applications!$R$4:$R$23,0)),"")</f>
        <v>Sweden</v>
      </c>
      <c r="D18" s="26" t="str">
        <f>IFERROR(INDEX(Applications!$D$4:$D$23,MATCH($A18,Applications!$R$4:$R$23,0)),"")</f>
        <v>PhD in Machine Learning (WASP)</v>
      </c>
      <c r="E18" s="28">
        <f>IFERROR(INDEX(Applications!$H$4:$H$23,MATCH($A18,Applications!$R$4:$R$23,0)),"")</f>
        <v>46356</v>
      </c>
      <c r="F18" s="35">
        <f ca="1">IFERROR(INDEX(Applications!$I$4:$I$23,MATCH($A18,Applications!$R$4:$R$23,0)),"")</f>
        <v>69</v>
      </c>
      <c r="G18" s="24" t="str">
        <f>IFERROR(INDEX(Applications!$J$4:$J$23,MATCH($A18,Applications!$R$4:$R$23,0)),"")</f>
        <v>In Progress</v>
      </c>
      <c r="H18" s="24" t="str">
        <f>IFERROR(INDEX(Applications!$K$4:$K$23,MATCH($A18,Applications!$R$4:$R$23,0)),"")</f>
        <v>High</v>
      </c>
    </row>
    <row r="19" spans="1:8" ht="18" customHeight="1" x14ac:dyDescent="0.3">
      <c r="A19" s="24">
        <v>10</v>
      </c>
      <c r="B19" s="34" t="str">
        <f>IFERROR(HYPERLINK("#'Applications'!A"&amp;(MATCH($A19,Applications!$R$4:$R$23,0)+3),INDEX(Applications!$B$4:$B$23,MATCH($A19,Applications!$R$4:$R$23,0))),"")</f>
        <v>Lund University</v>
      </c>
      <c r="C19" s="24" t="str">
        <f>IFERROR(INDEX(Applications!$C$4:$C$23,MATCH($A19,Applications!$R$4:$R$23,0)),"")</f>
        <v>Sweden</v>
      </c>
      <c r="D19" s="26" t="str">
        <f>IFERROR(INDEX(Applications!$D$4:$D$23,MATCH($A19,Applications!$R$4:$R$23,0)),"")</f>
        <v>PhD in Analytical Chemistry</v>
      </c>
      <c r="E19" s="28">
        <f>IFERROR(INDEX(Applications!$H$4:$H$23,MATCH($A19,Applications!$R$4:$R$23,0)),"")</f>
        <v>46402</v>
      </c>
      <c r="F19" s="35">
        <f ca="1">IFERROR(INDEX(Applications!$I$4:$I$23,MATCH($A19,Applications!$R$4:$R$23,0)),"")</f>
        <v>115</v>
      </c>
      <c r="G19" s="24" t="str">
        <f>IFERROR(INDEX(Applications!$J$4:$J$23,MATCH($A19,Applications!$R$4:$R$23,0)),"")</f>
        <v>In Progress</v>
      </c>
      <c r="H19" s="24" t="str">
        <f>IFERROR(INDEX(Applications!$K$4:$K$23,MATCH($A19,Applications!$R$4:$R$23,0)),"")</f>
        <v>Medium</v>
      </c>
    </row>
    <row r="20" spans="1:8" ht="18" customHeight="1" x14ac:dyDescent="0.3">
      <c r="A20" s="24">
        <v>11</v>
      </c>
      <c r="B20" s="34" t="str">
        <f>IFERROR(HYPERLINK("#'Applications'!A"&amp;(MATCH($A20,Applications!$R$4:$R$23,0)+3),INDEX(Applications!$B$4:$B$23,MATCH($A20,Applications!$R$4:$R$23,0))),"")</f>
        <v>Politecnico di Milano</v>
      </c>
      <c r="C20" s="24" t="str">
        <f>IFERROR(INDEX(Applications!$C$4:$C$23,MATCH($A20,Applications!$R$4:$R$23,0)),"")</f>
        <v>Italy</v>
      </c>
      <c r="D20" s="26" t="str">
        <f>IFERROR(INDEX(Applications!$D$4:$D$23,MATCH($A20,Applications!$R$4:$R$23,0)),"")</f>
        <v>PhD in Architecture &amp; Urban Design</v>
      </c>
      <c r="E20" s="28">
        <f>IFERROR(INDEX(Applications!$H$4:$H$23,MATCH($A20,Applications!$R$4:$R$23,0)),"")</f>
        <v>46446</v>
      </c>
      <c r="F20" s="35">
        <f ca="1">IFERROR(INDEX(Applications!$I$4:$I$23,MATCH($A20,Applications!$R$4:$R$23,0)),"")</f>
        <v>159</v>
      </c>
      <c r="G20" s="24" t="str">
        <f>IFERROR(INDEX(Applications!$J$4:$J$23,MATCH($A20,Applications!$R$4:$R$23,0)),"")</f>
        <v>Not Started</v>
      </c>
      <c r="H20" s="24" t="str">
        <f>IFERROR(INDEX(Applications!$K$4:$K$23,MATCH($A20,Applications!$R$4:$R$23,0)),"")</f>
        <v>Low</v>
      </c>
    </row>
    <row r="21" spans="1:8" ht="18" customHeight="1" x14ac:dyDescent="0.3">
      <c r="A21" s="24">
        <v>12</v>
      </c>
      <c r="B21" s="34" t="str">
        <f>IFERROR(HYPERLINK("#'Applications'!A"&amp;(MATCH($A21,Applications!$R$4:$R$23,0)+3),INDEX(Applications!$B$4:$B$23,MATCH($A21,Applications!$R$4:$R$23,0))),"")</f>
        <v>University of Bologna</v>
      </c>
      <c r="C21" s="24" t="str">
        <f>IFERROR(INDEX(Applications!$C$4:$C$23,MATCH($A21,Applications!$R$4:$R$23,0)),"")</f>
        <v>Italy</v>
      </c>
      <c r="D21" s="26" t="str">
        <f>IFERROR(INDEX(Applications!$D$4:$D$23,MATCH($A21,Applications!$R$4:$R$23,0)),"")</f>
        <v>PhD in Management</v>
      </c>
      <c r="E21" s="28">
        <f>IFERROR(INDEX(Applications!$H$4:$H$23,MATCH($A21,Applications!$R$4:$R$23,0)),"")</f>
        <v>46461</v>
      </c>
      <c r="F21" s="35">
        <f ca="1">IFERROR(INDEX(Applications!$I$4:$I$23,MATCH($A21,Applications!$R$4:$R$23,0)),"")</f>
        <v>174</v>
      </c>
      <c r="G21" s="24" t="str">
        <f>IFERROR(INDEX(Applications!$J$4:$J$23,MATCH($A21,Applications!$R$4:$R$23,0)),"")</f>
        <v>In Progress</v>
      </c>
      <c r="H21" s="24" t="str">
        <f>IFERROR(INDEX(Applications!$K$4:$K$23,MATCH($A21,Applications!$R$4:$R$23,0)),"")</f>
        <v>Medium</v>
      </c>
    </row>
    <row r="22" spans="1:8" ht="18" customHeight="1" x14ac:dyDescent="0.3">
      <c r="A22" s="24">
        <v>13</v>
      </c>
      <c r="B22" s="34" t="str">
        <f>IFERROR(HYPERLINK("#'Applications'!A"&amp;(MATCH($A22,Applications!$R$4:$R$23,0)+3),INDEX(Applications!$B$4:$B$23,MATCH($A22,Applications!$R$4:$R$23,0))),"")</f>
        <v>KU Leuven</v>
      </c>
      <c r="C22" s="24" t="str">
        <f>IFERROR(INDEX(Applications!$C$4:$C$23,MATCH($A22,Applications!$R$4:$R$23,0)),"")</f>
        <v>Belgium</v>
      </c>
      <c r="D22" s="26" t="str">
        <f>IFERROR(INDEX(Applications!$D$4:$D$23,MATCH($A22,Applications!$R$4:$R$23,0)),"")</f>
        <v>PhD in Organic Chemistry</v>
      </c>
      <c r="E22" s="28">
        <f>IFERROR(INDEX(Applications!$H$4:$H$23,MATCH($A22,Applications!$R$4:$R$23,0)),"")</f>
        <v>46336</v>
      </c>
      <c r="F22" s="35">
        <f ca="1">IFERROR(INDEX(Applications!$I$4:$I$23,MATCH($A22,Applications!$R$4:$R$23,0)),"")</f>
        <v>49</v>
      </c>
      <c r="G22" s="24" t="str">
        <f>IFERROR(INDEX(Applications!$J$4:$J$23,MATCH($A22,Applications!$R$4:$R$23,0)),"")</f>
        <v>In Progress</v>
      </c>
      <c r="H22" s="24" t="str">
        <f>IFERROR(INDEX(Applications!$K$4:$K$23,MATCH($A22,Applications!$R$4:$R$23,0)),"")</f>
        <v>High</v>
      </c>
    </row>
    <row r="23" spans="1:8" ht="18" customHeight="1" x14ac:dyDescent="0.3">
      <c r="A23" s="24">
        <v>14</v>
      </c>
      <c r="B23" s="34" t="str">
        <f>IFERROR(HYPERLINK("#'Applications'!A"&amp;(MATCH($A23,Applications!$R$4:$R$23,0)+3),INDEX(Applications!$B$4:$B$23,MATCH($A23,Applications!$R$4:$R$23,0))),"")</f>
        <v>Ghent University</v>
      </c>
      <c r="C23" s="24" t="str">
        <f>IFERROR(INDEX(Applications!$C$4:$C$23,MATCH($A23,Applications!$R$4:$R$23,0)),"")</f>
        <v>Belgium</v>
      </c>
      <c r="D23" s="26" t="str">
        <f>IFERROR(INDEX(Applications!$D$4:$D$23,MATCH($A23,Applications!$R$4:$R$23,0)),"")</f>
        <v>PhD in Plant Biology</v>
      </c>
      <c r="E23" s="28">
        <f>IFERROR(INDEX(Applications!$H$4:$H$23,MATCH($A23,Applications!$R$4:$R$23,0)),"")</f>
        <v>46376</v>
      </c>
      <c r="F23" s="35">
        <f ca="1">IFERROR(INDEX(Applications!$I$4:$I$23,MATCH($A23,Applications!$R$4:$R$23,0)),"")</f>
        <v>89</v>
      </c>
      <c r="G23" s="24" t="str">
        <f>IFERROR(INDEX(Applications!$J$4:$J$23,MATCH($A23,Applications!$R$4:$R$23,0)),"")</f>
        <v>Submitted</v>
      </c>
      <c r="H23" s="24" t="str">
        <f>IFERROR(INDEX(Applications!$K$4:$K$23,MATCH($A23,Applications!$R$4:$R$23,0)),"")</f>
        <v>Medium</v>
      </c>
    </row>
    <row r="24" spans="1:8" ht="18" customHeight="1" x14ac:dyDescent="0.3">
      <c r="A24" s="24">
        <v>15</v>
      </c>
      <c r="B24" s="34" t="str">
        <f>IFERROR(HYPERLINK("#'Applications'!A"&amp;(MATCH($A24,Applications!$R$4:$R$23,0)+3),INDEX(Applications!$B$4:$B$23,MATCH($A24,Applications!$R$4:$R$23,0))),"")</f>
        <v>ETH Zurich</v>
      </c>
      <c r="C24" s="24" t="str">
        <f>IFERROR(INDEX(Applications!$C$4:$C$23,MATCH($A24,Applications!$R$4:$R$23,0)),"")</f>
        <v>Switzerland</v>
      </c>
      <c r="D24" s="26" t="str">
        <f>IFERROR(INDEX(Applications!$D$4:$D$23,MATCH($A24,Applications!$R$4:$R$23,0)),"")</f>
        <v>PhD in Computer Science</v>
      </c>
      <c r="E24" s="28">
        <f>IFERROR(INDEX(Applications!$H$4:$H$23,MATCH($A24,Applications!$R$4:$R$23,0)),"")</f>
        <v>46366</v>
      </c>
      <c r="F24" s="35">
        <f ca="1">IFERROR(INDEX(Applications!$I$4:$I$23,MATCH($A24,Applications!$R$4:$R$23,0)),"")</f>
        <v>79</v>
      </c>
      <c r="G24" s="24" t="str">
        <f>IFERROR(INDEX(Applications!$J$4:$J$23,MATCH($A24,Applications!$R$4:$R$23,0)),"")</f>
        <v>Not Started</v>
      </c>
      <c r="H24" s="24" t="str">
        <f>IFERROR(INDEX(Applications!$K$4:$K$23,MATCH($A24,Applications!$R$4:$R$23,0)),"")</f>
        <v>Medium</v>
      </c>
    </row>
    <row r="25" spans="1:8" ht="18" customHeight="1" x14ac:dyDescent="0.3">
      <c r="A25" s="24">
        <v>16</v>
      </c>
      <c r="B25" s="34" t="str">
        <f>IFERROR(HYPERLINK("#'Applications'!A"&amp;(MATCH($A25,Applications!$R$4:$R$23,0)+3),INDEX(Applications!$B$4:$B$23,MATCH($A25,Applications!$R$4:$R$23,0))),"")</f>
        <v>EPFL</v>
      </c>
      <c r="C25" s="24" t="str">
        <f>IFERROR(INDEX(Applications!$C$4:$C$23,MATCH($A25,Applications!$R$4:$R$23,0)),"")</f>
        <v>Switzerland</v>
      </c>
      <c r="D25" s="26" t="str">
        <f>IFERROR(INDEX(Applications!$D$4:$D$23,MATCH($A25,Applications!$R$4:$R$23,0)),"")</f>
        <v>Postdoc in Robotics</v>
      </c>
      <c r="E25" s="28">
        <f>IFERROR(INDEX(Applications!$H$4:$H$23,MATCH($A25,Applications!$R$4:$R$23,0)),"")</f>
        <v>46407</v>
      </c>
      <c r="F25" s="35">
        <f ca="1">IFERROR(INDEX(Applications!$I$4:$I$23,MATCH($A25,Applications!$R$4:$R$23,0)),"")</f>
        <v>120</v>
      </c>
      <c r="G25" s="24" t="str">
        <f>IFERROR(INDEX(Applications!$J$4:$J$23,MATCH($A25,Applications!$R$4:$R$23,0)),"")</f>
        <v>In Progress</v>
      </c>
      <c r="H25" s="24" t="str">
        <f>IFERROR(INDEX(Applications!$K$4:$K$23,MATCH($A25,Applications!$R$4:$R$23,0)),"")</f>
        <v>Medium</v>
      </c>
    </row>
    <row r="26" spans="1:8" ht="18" customHeight="1" x14ac:dyDescent="0.3">
      <c r="A26" s="24">
        <v>17</v>
      </c>
      <c r="B26" s="34" t="str">
        <f>IFERROR(HYPERLINK("#'Applications'!A"&amp;(MATCH($A26,Applications!$R$4:$R$23,0)+3),INDEX(Applications!$B$4:$B$23,MATCH($A26,Applications!$R$4:$R$23,0))),"")</f>
        <v>NTNU</v>
      </c>
      <c r="C26" s="24" t="str">
        <f>IFERROR(INDEX(Applications!$C$4:$C$23,MATCH($A26,Applications!$R$4:$R$23,0)),"")</f>
        <v>Norway</v>
      </c>
      <c r="D26" s="26" t="str">
        <f>IFERROR(INDEX(Applications!$D$4:$D$23,MATCH($A26,Applications!$R$4:$R$23,0)),"")</f>
        <v>PhD in Geotechnical Engineering</v>
      </c>
      <c r="E26" s="28">
        <f>IFERROR(INDEX(Applications!$H$4:$H$23,MATCH($A26,Applications!$R$4:$R$23,0)),"")</f>
        <v>46351</v>
      </c>
      <c r="F26" s="35">
        <f ca="1">IFERROR(INDEX(Applications!$I$4:$I$23,MATCH($A26,Applications!$R$4:$R$23,0)),"")</f>
        <v>64</v>
      </c>
      <c r="G26" s="24" t="str">
        <f>IFERROR(INDEX(Applications!$J$4:$J$23,MATCH($A26,Applications!$R$4:$R$23,0)),"")</f>
        <v>Interview</v>
      </c>
      <c r="H26" s="24" t="str">
        <f>IFERROR(INDEX(Applications!$K$4:$K$23,MATCH($A26,Applications!$R$4:$R$23,0)),"")</f>
        <v>High</v>
      </c>
    </row>
    <row r="27" spans="1:8" ht="18" customHeight="1" x14ac:dyDescent="0.3">
      <c r="A27" s="24">
        <v>18</v>
      </c>
      <c r="B27" s="34" t="str">
        <f>IFERROR(HYPERLINK("#'Applications'!A"&amp;(MATCH($A27,Applications!$R$4:$R$23,0)+3),INDEX(Applications!$B$4:$B$23,MATCH($A27,Applications!$R$4:$R$23,0))),"")</f>
        <v>University of Oslo</v>
      </c>
      <c r="C27" s="24" t="str">
        <f>IFERROR(INDEX(Applications!$C$4:$C$23,MATCH($A27,Applications!$R$4:$R$23,0)),"")</f>
        <v>Norway</v>
      </c>
      <c r="D27" s="26" t="str">
        <f>IFERROR(INDEX(Applications!$D$4:$D$23,MATCH($A27,Applications!$R$4:$R$23,0)),"")</f>
        <v>PhD in Cognitive Psychology</v>
      </c>
      <c r="E27" s="28">
        <f>IFERROR(INDEX(Applications!$H$4:$H$23,MATCH($A27,Applications!$R$4:$R$23,0)),"")</f>
        <v>46428</v>
      </c>
      <c r="F27" s="35">
        <f ca="1">IFERROR(INDEX(Applications!$I$4:$I$23,MATCH($A27,Applications!$R$4:$R$23,0)),"")</f>
        <v>141</v>
      </c>
      <c r="G27" s="24" t="str">
        <f>IFERROR(INDEX(Applications!$J$4:$J$23,MATCH($A27,Applications!$R$4:$R$23,0)),"")</f>
        <v>Interview</v>
      </c>
      <c r="H27" s="24" t="str">
        <f>IFERROR(INDEX(Applications!$K$4:$K$23,MATCH($A27,Applications!$R$4:$R$23,0)),"")</f>
        <v>Medium</v>
      </c>
    </row>
    <row r="28" spans="1:8" ht="18" customHeight="1" x14ac:dyDescent="0.3">
      <c r="A28" s="24">
        <v>19</v>
      </c>
      <c r="B28" s="34" t="str">
        <f>IFERROR(HYPERLINK("#'Applications'!A"&amp;(MATCH($A28,Applications!$R$4:$R$23,0)+3),INDEX(Applications!$B$4:$B$23,MATCH($A28,Applications!$R$4:$R$23,0))),"")</f>
        <v>University of Toronto</v>
      </c>
      <c r="C28" s="24" t="str">
        <f>IFERROR(INDEX(Applications!$C$4:$C$23,MATCH($A28,Applications!$R$4:$R$23,0)),"")</f>
        <v>Canada</v>
      </c>
      <c r="D28" s="26" t="str">
        <f>IFERROR(INDEX(Applications!$D$4:$D$23,MATCH($A28,Applications!$R$4:$R$23,0)),"")</f>
        <v>PhD in Marketing</v>
      </c>
      <c r="E28" s="28">
        <f>IFERROR(INDEX(Applications!$H$4:$H$23,MATCH($A28,Applications!$R$4:$R$23,0)),"")</f>
        <v>46447</v>
      </c>
      <c r="F28" s="35">
        <f ca="1">IFERROR(INDEX(Applications!$I$4:$I$23,MATCH($A28,Applications!$R$4:$R$23,0)),"")</f>
        <v>160</v>
      </c>
      <c r="G28" s="24" t="str">
        <f>IFERROR(INDEX(Applications!$J$4:$J$23,MATCH($A28,Applications!$R$4:$R$23,0)),"")</f>
        <v>Rejected</v>
      </c>
      <c r="H28" s="24" t="str">
        <f>IFERROR(INDEX(Applications!$K$4:$K$23,MATCH($A28,Applications!$R$4:$R$23,0)),"")</f>
        <v>Low</v>
      </c>
    </row>
    <row r="29" spans="1:8" ht="18" customHeight="1" x14ac:dyDescent="0.3">
      <c r="A29" s="24">
        <v>20</v>
      </c>
      <c r="B29" s="34" t="str">
        <f>IFERROR(HYPERLINK("#'Applications'!A"&amp;(MATCH($A29,Applications!$R$4:$R$23,0)+3),INDEX(Applications!$B$4:$B$23,MATCH($A29,Applications!$R$4:$R$23,0))),"")</f>
        <v>McGill University</v>
      </c>
      <c r="C29" s="24" t="str">
        <f>IFERROR(INDEX(Applications!$C$4:$C$23,MATCH($A29,Applications!$R$4:$R$23,0)),"")</f>
        <v>Canada</v>
      </c>
      <c r="D29" s="26" t="str">
        <f>IFERROR(INDEX(Applications!$D$4:$D$23,MATCH($A29,Applications!$R$4:$R$23,0)),"")</f>
        <v>Postdoc in Cancer Biology</v>
      </c>
      <c r="E29" s="28">
        <f>IFERROR(INDEX(Applications!$H$4:$H$23,MATCH($A29,Applications!$R$4:$R$23,0)),"")</f>
        <v>46361</v>
      </c>
      <c r="F29" s="35">
        <f ca="1">IFERROR(INDEX(Applications!$I$4:$I$23,MATCH($A29,Applications!$R$4:$R$23,0)),"")</f>
        <v>74</v>
      </c>
      <c r="G29" s="24" t="str">
        <f>IFERROR(INDEX(Applications!$J$4:$J$23,MATCH($A29,Applications!$R$4:$R$23,0)),"")</f>
        <v>Accepted</v>
      </c>
      <c r="H29" s="24" t="str">
        <f>IFERROR(INDEX(Applications!$K$4:$K$23,MATCH($A29,Applications!$R$4:$R$23,0)),"")</f>
        <v>Low</v>
      </c>
    </row>
    <row r="31" spans="1:8" x14ac:dyDescent="0.3">
      <c r="B31" s="36" t="s">
        <v>232</v>
      </c>
      <c r="C31" s="36" t="s">
        <v>10</v>
      </c>
    </row>
    <row r="32" spans="1:8" x14ac:dyDescent="0.3">
      <c r="B32" s="37" t="s">
        <v>11</v>
      </c>
      <c r="C32" s="37">
        <f>SUMPRODUCT((Applications!$R$4:$R$23&lt;&gt;"")*(Applications!$J$4:$J$23="Not Started"))</f>
        <v>4</v>
      </c>
    </row>
    <row r="33" spans="2:3" x14ac:dyDescent="0.3">
      <c r="B33" s="37" t="s">
        <v>12</v>
      </c>
      <c r="C33" s="37">
        <f>SUMPRODUCT((Applications!$R$4:$R$23&lt;&gt;"")*(Applications!$J$4:$J$23="In Progress"))</f>
        <v>8</v>
      </c>
    </row>
    <row r="34" spans="2:3" x14ac:dyDescent="0.3">
      <c r="B34" s="37" t="s">
        <v>16</v>
      </c>
      <c r="C34" s="37">
        <f>SUMPRODUCT((Applications!$R$4:$R$23&lt;&gt;"")*(Applications!$J$4:$J$23="Submitted"))</f>
        <v>3</v>
      </c>
    </row>
    <row r="35" spans="2:3" x14ac:dyDescent="0.3">
      <c r="B35" s="37" t="s">
        <v>17</v>
      </c>
      <c r="C35" s="37">
        <f>SUMPRODUCT((Applications!$R$4:$R$23&lt;&gt;"")*(Applications!$J$4:$J$23="Interview"))</f>
        <v>3</v>
      </c>
    </row>
    <row r="36" spans="2:3" x14ac:dyDescent="0.3">
      <c r="B36" s="37" t="s">
        <v>18</v>
      </c>
      <c r="C36" s="37">
        <f>SUMPRODUCT((Applications!$R$4:$R$23&lt;&gt;"")*(Applications!$J$4:$J$23="Accepted"))</f>
        <v>1</v>
      </c>
    </row>
    <row r="37" spans="2:3" x14ac:dyDescent="0.3">
      <c r="B37" s="37" t="s">
        <v>19</v>
      </c>
      <c r="C37" s="37">
        <f>SUMPRODUCT((Applications!$R$4:$R$23&lt;&gt;"")*(Applications!$J$4:$J$23="Rejected"))</f>
        <v>1</v>
      </c>
    </row>
  </sheetData>
  <mergeCells count="7">
    <mergeCell ref="F6:G6"/>
    <mergeCell ref="F7:G7"/>
    <mergeCell ref="A1:H1"/>
    <mergeCell ref="A2:F2"/>
    <mergeCell ref="G2:H2"/>
    <mergeCell ref="F4:G4"/>
    <mergeCell ref="F5:G5"/>
  </mergeCells>
  <conditionalFormatting sqref="F10:F29">
    <cfRule type="cellIs" dxfId="2" priority="2" operator="between">
      <formula>0</formula>
      <formula>30</formula>
    </cfRule>
    <cfRule type="cellIs" dxfId="1" priority="3" operator="between">
      <formula>31</formula>
      <formula>60</formula>
    </cfRule>
  </conditionalFormatting>
  <conditionalFormatting sqref="A10:H29">
    <cfRule type="expression" dxfId="0" priority="4">
      <formula>$B10=""</formula>
    </cfRule>
  </conditionalFormatting>
  <hyperlinks>
    <hyperlink ref="A1" r:id="rId1" xr:uid="{00000000-0004-0000-0300-000000000000}"/>
    <hyperlink ref="G2" location="'Dashboard'!A1" display="◀ Back to Dashboard" xr:uid="{00000000-0004-0000-0300-000001000000}"/>
  </hyperlinks>
  <pageMargins left="0.75" right="0.75" top="1" bottom="1" header="0.511811023622047" footer="0.511811023622047"/>
  <pageSetup paperSize="9" orientation="portrait" horizontalDpi="300" verticalDpi="300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300-000000000000}">
          <x14:formula1>
            <xm:f>Lists!$G$2:$G$10</xm:f>
          </x14:formula1>
          <x14:formula2>
            <xm:f>0</xm:f>
          </x14:formula2>
          <xm:sqref>C4</xm:sqref>
        </x14:dataValidation>
        <x14:dataValidation type="list" allowBlank="1" xr:uid="{00000000-0002-0000-0300-000001000000}">
          <x14:formula1>
            <xm:f>Lists!$H$2:$H$8</xm:f>
          </x14:formula1>
          <x14:formula2>
            <xm:f>0</xm:f>
          </x14:formula2>
          <xm:sqref>C5</xm:sqref>
        </x14:dataValidation>
        <x14:dataValidation type="list" allowBlank="1" xr:uid="{00000000-0002-0000-0300-000002000000}">
          <x14:formula1>
            <xm:f>Lists!$I$2:$I$5</xm:f>
          </x14:formula1>
          <x14:formula2>
            <xm:f>0</xm:f>
          </x14:formula2>
          <xm:sqref>C6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"/>
  <sheetViews>
    <sheetView zoomScaleNormal="100" workbookViewId="0"/>
  </sheetViews>
  <sheetFormatPr defaultColWidth="8.6640625" defaultRowHeight="14.4" x14ac:dyDescent="0.3"/>
  <cols>
    <col min="1" max="5" width="26" customWidth="1"/>
    <col min="6" max="6" width="3" customWidth="1"/>
    <col min="7" max="7" width="60" customWidth="1"/>
    <col min="8" max="8" width="3" customWidth="1"/>
  </cols>
  <sheetData>
    <row r="1" spans="1:8" ht="24" customHeight="1" x14ac:dyDescent="0.3">
      <c r="A1" s="14" t="s">
        <v>0</v>
      </c>
      <c r="B1" s="14"/>
      <c r="C1" s="14"/>
      <c r="D1" s="14"/>
      <c r="E1" s="14"/>
      <c r="F1" s="14"/>
      <c r="G1" s="14"/>
      <c r="H1" s="14"/>
    </row>
    <row r="2" spans="1:8" x14ac:dyDescent="0.3">
      <c r="A2" s="1" t="s">
        <v>233</v>
      </c>
      <c r="B2" s="1"/>
      <c r="C2" s="1"/>
      <c r="D2" s="1"/>
      <c r="E2" s="1"/>
      <c r="G2" s="48" t="s">
        <v>50</v>
      </c>
      <c r="H2" s="48"/>
    </row>
    <row r="3" spans="1:8" ht="30" customHeight="1" x14ac:dyDescent="0.3">
      <c r="A3" s="23" t="s">
        <v>234</v>
      </c>
      <c r="B3" s="23" t="s">
        <v>235</v>
      </c>
      <c r="C3" s="23" t="s">
        <v>236</v>
      </c>
      <c r="D3" s="23" t="s">
        <v>237</v>
      </c>
      <c r="E3" s="23" t="s">
        <v>238</v>
      </c>
      <c r="F3" s="23"/>
      <c r="G3" s="51" t="s">
        <v>239</v>
      </c>
      <c r="H3" s="51"/>
    </row>
    <row r="4" spans="1:8" ht="26.4" x14ac:dyDescent="0.3">
      <c r="A4" s="38" t="s">
        <v>32</v>
      </c>
      <c r="B4" s="33" t="s">
        <v>64</v>
      </c>
      <c r="C4" s="33" t="s">
        <v>96</v>
      </c>
      <c r="D4" s="33" t="s">
        <v>113</v>
      </c>
      <c r="E4" s="33" t="s">
        <v>123</v>
      </c>
    </row>
    <row r="5" spans="1:8" ht="19.5" customHeight="1" x14ac:dyDescent="0.3">
      <c r="A5" s="32" t="s">
        <v>240</v>
      </c>
      <c r="B5" s="24">
        <f>IFERROR(INDEX(Applications!$L$4:$L$23,MATCH(B$4,Applications!$B$4:$B$23,0)),0)</f>
        <v>9</v>
      </c>
      <c r="C5" s="24">
        <f>IFERROR(INDEX(Applications!$L$4:$L$23,MATCH(C$4,Applications!$B$4:$B$23,0)),0)</f>
        <v>9</v>
      </c>
      <c r="D5" s="24">
        <f>IFERROR(INDEX(Applications!$L$4:$L$23,MATCH(D$4,Applications!$B$4:$B$23,0)),0)</f>
        <v>7</v>
      </c>
      <c r="E5" s="24">
        <f>IFERROR(INDEX(Applications!$L$4:$L$23,MATCH(E$4,Applications!$B$4:$B$23,0)),0)</f>
        <v>9</v>
      </c>
      <c r="G5" s="52" t="s">
        <v>241</v>
      </c>
      <c r="H5" s="52"/>
    </row>
    <row r="6" spans="1:8" ht="19.5" customHeight="1" x14ac:dyDescent="0.3">
      <c r="A6" s="32" t="s">
        <v>242</v>
      </c>
      <c r="B6" s="24">
        <f>IFERROR(IF(ISNUMBER(SEARCH("Fully",INDEX(Applications!$M$4:$M$23,MATCH(B$4,Applications!$B$4:$B$23,0)))),10,IF(ISNUMBER(SEARCH("Partial",INDEX(Applications!$M$4:$M$23,MATCH(B$4,Applications!$B$4:$B$23,0)))),6,7)),0)</f>
        <v>10</v>
      </c>
      <c r="C6" s="24">
        <f>IFERROR(IF(ISNUMBER(SEARCH("Fully",INDEX(Applications!$M$4:$M$23,MATCH(C$4,Applications!$B$4:$B$23,0)))),10,IF(ISNUMBER(SEARCH("Partial",INDEX(Applications!$M$4:$M$23,MATCH(C$4,Applications!$B$4:$B$23,0)))),6,7)),0)</f>
        <v>10</v>
      </c>
      <c r="D6" s="24">
        <f>IFERROR(IF(ISNUMBER(SEARCH("Fully",INDEX(Applications!$M$4:$M$23,MATCH(D$4,Applications!$B$4:$B$23,0)))),10,IF(ISNUMBER(SEARCH("Partial",INDEX(Applications!$M$4:$M$23,MATCH(D$4,Applications!$B$4:$B$23,0)))),6,7)),0)</f>
        <v>7</v>
      </c>
      <c r="E6" s="24">
        <f>IFERROR(IF(ISNUMBER(SEARCH("Fully",INDEX(Applications!$M$4:$M$23,MATCH(E$4,Applications!$B$4:$B$23,0)))),10,IF(ISNUMBER(SEARCH("Partial",INDEX(Applications!$M$4:$M$23,MATCH(E$4,Applications!$B$4:$B$23,0)))),6,7)),0)</f>
        <v>10</v>
      </c>
      <c r="G6" s="52" t="s">
        <v>243</v>
      </c>
      <c r="H6" s="52"/>
    </row>
    <row r="7" spans="1:8" ht="19.5" customHeight="1" x14ac:dyDescent="0.3">
      <c r="A7" s="32" t="s">
        <v>244</v>
      </c>
      <c r="B7" s="24">
        <f>IFERROR(INDEX('Universities &amp; Supervisors'!$F$4:$F$23,MATCH(B$4,'Universities &amp; Supervisors'!$A$4:$A$23,0)),0)</f>
        <v>9</v>
      </c>
      <c r="C7" s="24">
        <f>IFERROR(INDEX('Universities &amp; Supervisors'!$F$4:$F$23,MATCH(C$4,'Universities &amp; Supervisors'!$A$4:$A$23,0)),0)</f>
        <v>10</v>
      </c>
      <c r="D7" s="24">
        <f>IFERROR(INDEX('Universities &amp; Supervisors'!$F$4:$F$23,MATCH(D$4,'Universities &amp; Supervisors'!$A$4:$A$23,0)),0)</f>
        <v>7</v>
      </c>
      <c r="E7" s="24">
        <f>IFERROR(INDEX('Universities &amp; Supervisors'!$F$4:$F$23,MATCH(E$4,'Universities &amp; Supervisors'!$A$4:$A$23,0)),0)</f>
        <v>10</v>
      </c>
      <c r="G7" s="52" t="s">
        <v>245</v>
      </c>
      <c r="H7" s="52"/>
    </row>
    <row r="8" spans="1:8" ht="19.5" customHeight="1" x14ac:dyDescent="0.3">
      <c r="A8" s="32" t="s">
        <v>246</v>
      </c>
      <c r="B8" s="24">
        <f ca="1">IFERROR(MAX(0,MIN(10,ROUND(10-INDEX(Applications!$I$4:$I$23,MATCH(B$4,Applications!$B$4:$B$23,0))/20,0))),0)</f>
        <v>9</v>
      </c>
      <c r="C8" s="24">
        <f ca="1">IFERROR(MAX(0,MIN(10,ROUND(10-INDEX(Applications!$I$4:$I$23,MATCH(C$4,Applications!$B$4:$B$23,0))/20,0))),0)</f>
        <v>9</v>
      </c>
      <c r="D8" s="24">
        <f ca="1">IFERROR(MAX(0,MIN(10,ROUND(10-INDEX(Applications!$I$4:$I$23,MATCH(D$4,Applications!$B$4:$B$23,0))/20,0))),0)</f>
        <v>1</v>
      </c>
      <c r="E8" s="24">
        <f ca="1">IFERROR(MAX(0,MIN(10,ROUND(10-INDEX(Applications!$I$4:$I$23,MATCH(E$4,Applications!$B$4:$B$23,0))/20,0))),0)</f>
        <v>6</v>
      </c>
      <c r="G8" s="52" t="s">
        <v>247</v>
      </c>
      <c r="H8" s="52"/>
    </row>
    <row r="9" spans="1:8" ht="19.5" customHeight="1" x14ac:dyDescent="0.3">
      <c r="A9" s="32" t="s">
        <v>248</v>
      </c>
      <c r="B9" s="24">
        <f>IFERROR(INDEX('Universities &amp; Supervisors'!$G$4:$G$23,MATCH(B$4,'Universities &amp; Supervisors'!$A$4:$A$23,0)),0)</f>
        <v>7</v>
      </c>
      <c r="C9" s="24">
        <f>IFERROR(INDEX('Universities &amp; Supervisors'!$G$4:$G$23,MATCH(C$4,'Universities &amp; Supervisors'!$A$4:$A$23,0)),0)</f>
        <v>6</v>
      </c>
      <c r="D9" s="24">
        <f>IFERROR(INDEX('Universities &amp; Supervisors'!$G$4:$G$23,MATCH(D$4,'Universities &amp; Supervisors'!$A$4:$A$23,0)),0)</f>
        <v>6</v>
      </c>
      <c r="E9" s="24">
        <f>IFERROR(INDEX('Universities &amp; Supervisors'!$G$4:$G$23,MATCH(E$4,'Universities &amp; Supervisors'!$A$4:$A$23,0)),0)</f>
        <v>4</v>
      </c>
      <c r="G9" s="52" t="s">
        <v>249</v>
      </c>
      <c r="H9" s="52"/>
    </row>
    <row r="10" spans="1:8" x14ac:dyDescent="0.3">
      <c r="A10" s="23" t="s">
        <v>250</v>
      </c>
      <c r="B10" s="32">
        <f ca="1">ROUND(AVERAGE(B5:B9),1)</f>
        <v>8.8000000000000007</v>
      </c>
      <c r="C10" s="32">
        <f ca="1">ROUND(AVERAGE(C5:C9),1)</f>
        <v>8.8000000000000007</v>
      </c>
      <c r="D10" s="32">
        <f ca="1">ROUND(AVERAGE(D5:D9),1)</f>
        <v>5.6</v>
      </c>
      <c r="E10" s="32">
        <f ca="1">ROUND(AVERAGE(E5:E9),1)</f>
        <v>7.8</v>
      </c>
    </row>
    <row r="11" spans="1:8" x14ac:dyDescent="0.3">
      <c r="A11" s="39" t="s">
        <v>251</v>
      </c>
      <c r="B11" s="40" t="str">
        <f>IF(B4="","",HYPERLINK("#'Universities &amp; Supervisors'!A"&amp;(MATCH(B4,'Universities &amp; Supervisors'!$A$4:$A$23,0)+3),"Open ▸"))</f>
        <v>Open ▸</v>
      </c>
      <c r="C11" s="40" t="str">
        <f>IF(C4="","",HYPERLINK("#'Universities &amp; Supervisors'!A"&amp;(MATCH(C4,'Universities &amp; Supervisors'!$A$4:$A$23,0)+3),"Open ▸"))</f>
        <v>Open ▸</v>
      </c>
      <c r="D11" s="40" t="str">
        <f>IF(D4="","",HYPERLINK("#'Universities &amp; Supervisors'!A"&amp;(MATCH(D4,'Universities &amp; Supervisors'!$A$4:$A$23,0)+3),"Open ▸"))</f>
        <v>Open ▸</v>
      </c>
      <c r="E11" s="40" t="str">
        <f>IF(E4="","",HYPERLINK("#'Universities &amp; Supervisors'!A"&amp;(MATCH(E4,'Universities &amp; Supervisors'!$A$4:$A$23,0)+3),"Open ▸"))</f>
        <v>Open ▸</v>
      </c>
    </row>
  </sheetData>
  <mergeCells count="9">
    <mergeCell ref="G6:H6"/>
    <mergeCell ref="G7:H7"/>
    <mergeCell ref="G8:H8"/>
    <mergeCell ref="G9:H9"/>
    <mergeCell ref="A1:H1"/>
    <mergeCell ref="A2:E2"/>
    <mergeCell ref="G2:H2"/>
    <mergeCell ref="G3:H3"/>
    <mergeCell ref="G5:H5"/>
  </mergeCells>
  <hyperlinks>
    <hyperlink ref="A1" r:id="rId1" xr:uid="{00000000-0004-0000-0400-000000000000}"/>
    <hyperlink ref="G2" location="'Dashboard'!A1" display="◀ Back to Dashboard" xr:uid="{00000000-0004-0000-0400-000001000000}"/>
  </hyperlinks>
  <pageMargins left="0.75" right="0.75" top="1" bottom="1" header="0.511811023622047" footer="0.511811023622047"/>
  <pageSetup paperSize="9" orientation="portrait" horizontalDpi="300" verticalDpi="300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'Universities &amp; Supervisors'!$A$4:$A$23</xm:f>
          </x14:formula1>
          <x14:formula2>
            <xm:f>0</xm:f>
          </x14:formula2>
          <xm:sqref>B4:E4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26" customWidth="1"/>
    <col min="3" max="3" width="90" customWidth="1"/>
  </cols>
  <sheetData>
    <row r="1" spans="1:6" ht="24" customHeight="1" x14ac:dyDescent="0.3">
      <c r="A1" s="14" t="s">
        <v>0</v>
      </c>
      <c r="B1" s="14"/>
      <c r="C1" s="14"/>
      <c r="D1" s="14"/>
      <c r="E1" s="14"/>
      <c r="F1" s="14"/>
    </row>
    <row r="3" spans="1:6" ht="21" x14ac:dyDescent="0.4">
      <c r="B3" s="41" t="s">
        <v>252</v>
      </c>
      <c r="C3" s="42" t="s">
        <v>50</v>
      </c>
    </row>
    <row r="5" spans="1:6" ht="48" customHeight="1" x14ac:dyDescent="0.3">
      <c r="B5" s="43" t="s">
        <v>253</v>
      </c>
      <c r="C5" s="44" t="s">
        <v>254</v>
      </c>
    </row>
    <row r="6" spans="1:6" ht="48" customHeight="1" x14ac:dyDescent="0.3">
      <c r="B6" s="45" t="s">
        <v>255</v>
      </c>
      <c r="C6" s="44" t="s">
        <v>256</v>
      </c>
    </row>
    <row r="7" spans="1:6" ht="48" customHeight="1" x14ac:dyDescent="0.3">
      <c r="B7" s="45" t="s">
        <v>257</v>
      </c>
      <c r="C7" s="44" t="s">
        <v>258</v>
      </c>
    </row>
    <row r="8" spans="1:6" ht="48" customHeight="1" x14ac:dyDescent="0.3">
      <c r="B8" s="45" t="s">
        <v>259</v>
      </c>
      <c r="C8" s="44" t="s">
        <v>260</v>
      </c>
    </row>
    <row r="9" spans="1:6" ht="48" customHeight="1" x14ac:dyDescent="0.3">
      <c r="B9" s="45" t="s">
        <v>261</v>
      </c>
      <c r="C9" s="44" t="s">
        <v>262</v>
      </c>
    </row>
    <row r="10" spans="1:6" ht="48" customHeight="1" x14ac:dyDescent="0.3">
      <c r="B10" s="45" t="s">
        <v>263</v>
      </c>
      <c r="C10" s="44" t="s">
        <v>264</v>
      </c>
    </row>
    <row r="11" spans="1:6" ht="48" customHeight="1" x14ac:dyDescent="0.3">
      <c r="B11" s="45" t="s">
        <v>265</v>
      </c>
      <c r="C11" s="44" t="s">
        <v>266</v>
      </c>
    </row>
    <row r="12" spans="1:6" ht="48" customHeight="1" x14ac:dyDescent="0.3">
      <c r="B12" s="43" t="s">
        <v>267</v>
      </c>
      <c r="C12" s="44" t="s">
        <v>268</v>
      </c>
    </row>
    <row r="13" spans="1:6" ht="48" customHeight="1" x14ac:dyDescent="0.3">
      <c r="B13" s="43" t="s">
        <v>269</v>
      </c>
      <c r="C13" s="44" t="s">
        <v>270</v>
      </c>
    </row>
    <row r="14" spans="1:6" ht="48" customHeight="1" x14ac:dyDescent="0.3">
      <c r="B14" s="43" t="s">
        <v>271</v>
      </c>
      <c r="C14" s="44" t="s">
        <v>272</v>
      </c>
    </row>
    <row r="15" spans="1:6" ht="48" customHeight="1" x14ac:dyDescent="0.3">
      <c r="B15" s="43" t="s">
        <v>273</v>
      </c>
      <c r="C15" s="44" t="s">
        <v>274</v>
      </c>
    </row>
  </sheetData>
  <mergeCells count="1">
    <mergeCell ref="A1:F1"/>
  </mergeCells>
  <hyperlinks>
    <hyperlink ref="A1" r:id="rId1" xr:uid="{00000000-0004-0000-0500-000000000000}"/>
    <hyperlink ref="C3" location="'Dashboard'!A1" display="◀ Back to Dashboard" xr:uid="{00000000-0004-0000-0500-000001000000}"/>
    <hyperlink ref="B6" location="'Applications'!A1" display="Data model" xr:uid="{00000000-0004-0000-0500-000002000000}"/>
    <hyperlink ref="B7" location="'Dashboard'!A1" display="What is automated" xr:uid="{00000000-0004-0000-0500-000003000000}"/>
    <hyperlink ref="B8" location="'Applications'!A1" display="Adding an application" xr:uid="{00000000-0004-0000-0500-000004000000}"/>
    <hyperlink ref="B9" location="'Universities%20&amp;%20Supervisors'!A1" display="Adding a university" xr:uid="{00000000-0004-0000-0500-000005000000}"/>
    <hyperlink ref="B10" location="'Scoring'!A1" display="Comparing a shortlist" xr:uid="{00000000-0004-0000-0500-000006000000}"/>
    <hyperlink ref="B11" location="'Explorer'!A1" display="Filtering" xr:uid="{00000000-0004-0000-0500-000007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4"/>
  <sheetViews>
    <sheetView zoomScaleNormal="100" workbookViewId="0"/>
  </sheetViews>
  <sheetFormatPr defaultColWidth="8.6640625" defaultRowHeight="14.4" x14ac:dyDescent="0.3"/>
  <cols>
    <col min="1" max="5" width="24" customWidth="1"/>
  </cols>
  <sheetData>
    <row r="1" spans="1:9" x14ac:dyDescent="0.3">
      <c r="A1" s="36" t="s">
        <v>9</v>
      </c>
      <c r="B1" s="36" t="s">
        <v>56</v>
      </c>
      <c r="C1" s="36" t="s">
        <v>53</v>
      </c>
      <c r="D1" s="36" t="s">
        <v>52</v>
      </c>
      <c r="E1" s="36" t="s">
        <v>146</v>
      </c>
      <c r="G1" s="36" t="s">
        <v>275</v>
      </c>
      <c r="H1" s="36" t="s">
        <v>276</v>
      </c>
      <c r="I1" s="36" t="s">
        <v>277</v>
      </c>
    </row>
    <row r="2" spans="1:9" x14ac:dyDescent="0.3">
      <c r="A2" t="s">
        <v>11</v>
      </c>
      <c r="B2" t="s">
        <v>68</v>
      </c>
      <c r="C2" t="s">
        <v>67</v>
      </c>
      <c r="D2" t="s">
        <v>93</v>
      </c>
      <c r="E2" t="s">
        <v>161</v>
      </c>
      <c r="G2" t="s">
        <v>227</v>
      </c>
      <c r="H2" t="s">
        <v>227</v>
      </c>
      <c r="I2" t="s">
        <v>227</v>
      </c>
    </row>
    <row r="3" spans="1:9" x14ac:dyDescent="0.3">
      <c r="A3" t="s">
        <v>12</v>
      </c>
      <c r="B3" t="s">
        <v>77</v>
      </c>
      <c r="C3" t="s">
        <v>99</v>
      </c>
      <c r="D3" t="s">
        <v>98</v>
      </c>
      <c r="E3" t="s">
        <v>156</v>
      </c>
      <c r="G3" t="s">
        <v>21</v>
      </c>
      <c r="H3" t="s">
        <v>11</v>
      </c>
      <c r="I3" t="s">
        <v>68</v>
      </c>
    </row>
    <row r="4" spans="1:9" x14ac:dyDescent="0.3">
      <c r="A4" t="s">
        <v>16</v>
      </c>
      <c r="B4" t="s">
        <v>94</v>
      </c>
      <c r="C4" t="s">
        <v>278</v>
      </c>
      <c r="D4" t="s">
        <v>107</v>
      </c>
      <c r="E4" t="s">
        <v>151</v>
      </c>
      <c r="G4" t="s">
        <v>22</v>
      </c>
      <c r="H4" t="s">
        <v>12</v>
      </c>
      <c r="I4" t="s">
        <v>77</v>
      </c>
    </row>
    <row r="5" spans="1:9" x14ac:dyDescent="0.3">
      <c r="A5" t="s">
        <v>17</v>
      </c>
      <c r="D5" t="s">
        <v>103</v>
      </c>
      <c r="E5" t="s">
        <v>170</v>
      </c>
      <c r="G5" t="s">
        <v>23</v>
      </c>
      <c r="H5" t="s">
        <v>16</v>
      </c>
      <c r="I5" t="s">
        <v>94</v>
      </c>
    </row>
    <row r="6" spans="1:9" x14ac:dyDescent="0.3">
      <c r="A6" t="s">
        <v>18</v>
      </c>
      <c r="D6" t="s">
        <v>85</v>
      </c>
      <c r="G6" t="s">
        <v>24</v>
      </c>
      <c r="H6" t="s">
        <v>17</v>
      </c>
    </row>
    <row r="7" spans="1:9" x14ac:dyDescent="0.3">
      <c r="A7" t="s">
        <v>19</v>
      </c>
      <c r="D7" t="s">
        <v>81</v>
      </c>
      <c r="G7" t="s">
        <v>25</v>
      </c>
      <c r="H7" t="s">
        <v>18</v>
      </c>
    </row>
    <row r="8" spans="1:9" x14ac:dyDescent="0.3">
      <c r="D8" t="s">
        <v>76</v>
      </c>
      <c r="G8" t="s">
        <v>26</v>
      </c>
      <c r="H8" t="s">
        <v>19</v>
      </c>
    </row>
    <row r="9" spans="1:9" x14ac:dyDescent="0.3">
      <c r="D9" t="s">
        <v>111</v>
      </c>
      <c r="G9" t="s">
        <v>27</v>
      </c>
    </row>
    <row r="10" spans="1:9" x14ac:dyDescent="0.3">
      <c r="D10" t="s">
        <v>115</v>
      </c>
      <c r="G10" t="s">
        <v>28</v>
      </c>
    </row>
    <row r="11" spans="1:9" x14ac:dyDescent="0.3">
      <c r="D11" t="s">
        <v>137</v>
      </c>
    </row>
    <row r="12" spans="1:9" x14ac:dyDescent="0.3">
      <c r="D12" t="s">
        <v>89</v>
      </c>
    </row>
    <row r="13" spans="1:9" x14ac:dyDescent="0.3">
      <c r="D13" t="s">
        <v>66</v>
      </c>
    </row>
    <row r="14" spans="1:9" x14ac:dyDescent="0.3">
      <c r="D14" t="s">
        <v>72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Applications</vt:lpstr>
      <vt:lpstr>Universities &amp; Supervisors</vt:lpstr>
      <vt:lpstr>Explorer</vt:lpstr>
      <vt:lpstr>Scoring</vt:lpstr>
      <vt:lpstr>How It Works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Apply Abroad Lab Application Tracker Pro</dc:title>
  <dc:subject/>
  <dc:creator>ApplyAbroadLab.com</dc:creator>
  <dc:description/>
  <cp:lastModifiedBy>  </cp:lastModifiedBy>
  <cp:revision>1</cp:revision>
  <dcterms:created xsi:type="dcterms:W3CDTF">2026-09-22T12:50:41Z</dcterms:created>
  <dcterms:modified xsi:type="dcterms:W3CDTF">2026-09-22T12:23:30Z</dcterms:modified>
  <dc:language>en-US</dc:language>
</cp:coreProperties>
</file>